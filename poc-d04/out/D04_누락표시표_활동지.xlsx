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누락표시표" sheetId="2" state="visible" r:id="rId2"/>
    <sheet name="역할표" sheetId="3" state="visible" r:id="rId3"/>
    <sheet name="PoC기획안_8칸" sheetId="4" state="visible" r:id="rId4"/>
    <sheet name="5항목평가표" sheetId="5" state="visible" r:id="rId5"/>
    <sheet name="시간기록지" sheetId="6" state="visible" r:id="rId6"/>
    <sheet name="검증지표표" sheetId="7" state="visible" r:id="rId7"/>
    <sheet name="후보B_견적비교준비" sheetId="8" state="visible" r:id="rId8"/>
    <sheet name="후보C_발주입고_공동조회" sheetId="9" state="visible" r:id="rId9"/>
    <sheet name="필수항목표" sheetId="10" state="visible" r:id="rId10"/>
    <sheet name="용어사전" sheetId="11" state="visible" r:id="rId11"/>
    <sheet name="표본목록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D04 · 구매 요청서 누락 확인 PoC — 활동지 (교육용 가상 자료)</t>
        </is>
      </c>
    </row>
    <row r="2">
      <c r="A2" s="2" t="inlineStr"/>
    </row>
    <row r="3">
      <c r="A3" s="3" t="inlineStr">
        <is>
          <t>사용 순서 (M03 공통 시연 8–13분 조별 실습)</t>
        </is>
      </c>
    </row>
    <row r="4">
      <c r="A4" s="2" t="inlineStr">
        <is>
          <t>1. '표본목록'에서 자기 조 요청서 1건을 고른다. 텍스트는 data/requests/ 파일 또는 오프라인 캡처를 본다.</t>
        </is>
      </c>
    </row>
    <row r="5">
      <c r="A5" s="2" t="inlineStr">
        <is>
          <t>2. ChatGPT에 prompts/00_시스템규칙 + 01_추출을 넣고 JSON을 받는다. (접속 불가 시 examples/D04_오프라인_추출결과 사용)</t>
        </is>
      </c>
    </row>
    <row r="6">
      <c r="A6" s="2" t="inlineStr">
        <is>
          <t>3. '누락표시표'에 원문 값 / 표준명 후보(AI 제안) / 상태(규칙) / 근거 / 보완 질문을 옮긴다. 값이 없으면 비운다.</t>
        </is>
      </c>
    </row>
    <row r="7">
      <c r="A7" s="2" t="inlineStr">
        <is>
          <t>4. '사람 확정' 열은 반드시 사람이 채운다. AI 출력을 그대로 붙이지 않는다.</t>
        </is>
      </c>
    </row>
    <row r="8">
      <c r="A8" s="2" t="inlineStr">
        <is>
          <t>5. '역할표'에 AI 제안 / 규칙·화면 / 사람 확정을 나눈다.</t>
        </is>
      </c>
    </row>
    <row r="9">
      <c r="A9" s="2" t="inlineStr">
        <is>
          <t>6. 'PoC기획안_8칸'의 입력 자료·사람 판단·성공/중단 기준을 채운다.</t>
        </is>
      </c>
    </row>
    <row r="10">
      <c r="A10" s="2" t="inlineStr"/>
    </row>
    <row r="11">
      <c r="A11" s="3" t="inlineStr">
        <is>
          <t>게이트 (기획안 §3-2)</t>
        </is>
      </c>
    </row>
    <row r="12">
      <c r="A12" s="2" t="inlineStr">
        <is>
          <t>G1 값이 없으면 비우거나 '확인 필요'. 원문 없는 값을 채우지 않는다.</t>
        </is>
      </c>
    </row>
    <row r="13">
      <c r="A13" s="2" t="inlineStr">
        <is>
          <t>G2 '다음 주' 같은 모호 표현을 날짜로 단정하지 않는다.</t>
        </is>
      </c>
    </row>
    <row r="14">
      <c r="A14" s="2" t="inlineStr">
        <is>
          <t>G3 별칭이 비슷하다는 이유만으로 다른 규격을 합치지 않는다.</t>
        </is>
      </c>
    </row>
    <row r="15">
      <c r="A15" s="2" t="inlineStr">
        <is>
          <t>G4 원문에 없는 규격을 채우지 않는다.</t>
        </is>
      </c>
    </row>
    <row r="16">
      <c r="A16" s="2" t="inlineStr">
        <is>
          <t>G5 최종 확정은 사람이 한다.</t>
        </is>
      </c>
    </row>
    <row r="17">
      <c r="A17" s="2" t="inlineStr"/>
    </row>
    <row r="18">
      <c r="A18" s="2" t="inlineStr">
        <is>
          <t>판단 기준: '문서를 만들었는가'가 아니라 '추가 문의 항목(누락·모호)을 찾았는가'.</t>
        </is>
      </c>
    </row>
    <row r="19">
      <c r="A19" s="2" t="inlineStr">
        <is>
          <t>모든 품목 ID·규격·현장명은 교육용 가상이며 실제 건설 자재 규격을 뜻하지 않는다. 표본 수·목표 %는 교육용 가정이다.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2" customWidth="1" min="4" max="4"/>
    <col width="30" customWidth="1" min="5" max="5"/>
    <col width="12" customWidth="1" min="6" max="6"/>
    <col width="10" customWidth="1" min="7" max="7"/>
    <col width="34" customWidth="1" min="8" max="8"/>
    <col width="46" customWidth="1" min="9" max="9"/>
    <col width="22" customWidth="1" min="10" max="10"/>
    <col width="10" customWidth="1" min="11" max="11"/>
    <col width="18" customWidth="1" min="12" max="12"/>
  </cols>
  <sheetData>
    <row r="1">
      <c r="A1" s="4" t="inlineStr">
        <is>
          <t>문서ID</t>
        </is>
      </c>
      <c r="B1" s="4" t="inlineStr">
        <is>
          <t>항목</t>
        </is>
      </c>
      <c r="C1" s="4" t="inlineStr">
        <is>
          <t>원문 값</t>
        </is>
      </c>
      <c r="D1" s="4" t="inlineStr">
        <is>
          <t>원문 발췌 위치</t>
        </is>
      </c>
      <c r="E1" s="4" t="inlineStr">
        <is>
          <t>표준명 후보 (AI 제안)</t>
        </is>
      </c>
      <c r="F1" s="4" t="inlineStr">
        <is>
          <t>상태 (규칙)</t>
        </is>
      </c>
      <c r="G1" s="4" t="inlineStr">
        <is>
          <t>확인 필요</t>
        </is>
      </c>
      <c r="H1" s="4" t="inlineStr">
        <is>
          <t>근거</t>
        </is>
      </c>
      <c r="I1" s="4" t="inlineStr">
        <is>
          <t>보완 질문 초안 (AI 제안)</t>
        </is>
      </c>
      <c r="J1" s="4" t="inlineStr">
        <is>
          <t>사람 확정</t>
        </is>
      </c>
      <c r="K1" s="4" t="inlineStr">
        <is>
          <t>확정자</t>
        </is>
      </c>
      <c r="L1" s="4" t="inlineStr">
        <is>
          <t>비고</t>
        </is>
      </c>
    </row>
    <row r="2">
      <c r="A2" s="2" t="inlineStr">
        <is>
          <t>D04-13</t>
        </is>
      </c>
      <c r="B2" s="2" t="inlineStr">
        <is>
          <t>품목 ID</t>
        </is>
      </c>
      <c r="C2" s="2" t="inlineStr">
        <is>
          <t>P-01</t>
        </is>
      </c>
      <c r="D2" s="2" t="inlineStr">
        <is>
          <t>8–12</t>
        </is>
      </c>
      <c r="E2" s="2" t="inlineStr">
        <is>
          <t>볼밸브 50A</t>
        </is>
      </c>
      <c r="F2" s="2" t="inlineStr">
        <is>
          <t>충족</t>
        </is>
      </c>
      <c r="G2" s="2">
        <f>IF(F2="충족","","확인 필요")</f>
        <v/>
      </c>
      <c r="H2" s="2" t="inlineStr">
        <is>
          <t>사전 품목 볼밸브 50A</t>
        </is>
      </c>
      <c r="I2" s="2" t="inlineStr"/>
      <c r="J2" s="5" t="inlineStr"/>
      <c r="K2" s="2" t="inlineStr"/>
      <c r="L2" s="2" t="inlineStr"/>
    </row>
    <row r="3">
      <c r="A3" s="2" t="inlineStr">
        <is>
          <t>D04-13</t>
        </is>
      </c>
      <c r="B3" s="2" t="inlineStr">
        <is>
          <t>수량</t>
        </is>
      </c>
      <c r="C3" s="2" t="inlineStr">
        <is>
          <t>20</t>
        </is>
      </c>
      <c r="D3" s="2" t="inlineStr">
        <is>
          <t>13–15</t>
        </is>
      </c>
      <c r="E3" s="2" t="inlineStr"/>
      <c r="F3" s="2" t="inlineStr">
        <is>
          <t>충족</t>
        </is>
      </c>
      <c r="G3" s="2">
        <f>IF(F3="충족","","확인 필요")</f>
        <v/>
      </c>
      <c r="H3" s="2" t="inlineStr">
        <is>
          <t>양의 정수</t>
        </is>
      </c>
      <c r="I3" s="2" t="inlineStr"/>
      <c r="J3" s="5" t="inlineStr"/>
      <c r="K3" s="2" t="inlineStr"/>
      <c r="L3" s="2" t="inlineStr"/>
    </row>
    <row r="4">
      <c r="A4" s="2" t="inlineStr">
        <is>
          <t>D04-13</t>
        </is>
      </c>
      <c r="B4" s="2" t="inlineStr">
        <is>
          <t>단위</t>
        </is>
      </c>
      <c r="C4" s="2" t="inlineStr">
        <is>
          <t>개</t>
        </is>
      </c>
      <c r="D4" s="2" t="inlineStr">
        <is>
          <t>15–16</t>
        </is>
      </c>
      <c r="E4" s="2" t="inlineStr">
        <is>
          <t>개</t>
        </is>
      </c>
      <c r="F4" s="2" t="inlineStr">
        <is>
          <t>충족</t>
        </is>
      </c>
      <c r="G4" s="2">
        <f>IF(F4="충족","","확인 필요")</f>
        <v/>
      </c>
      <c r="H4" s="2" t="inlineStr">
        <is>
          <t>표준 단위와 일치</t>
        </is>
      </c>
      <c r="I4" s="2" t="inlineStr"/>
      <c r="J4" s="5" t="inlineStr"/>
      <c r="K4" s="2" t="inlineStr"/>
      <c r="L4" s="2" t="inlineStr"/>
    </row>
    <row r="5">
      <c r="A5" s="2" t="inlineStr">
        <is>
          <t>D04-13</t>
        </is>
      </c>
      <c r="B5" s="2" t="inlineStr">
        <is>
          <t>희망일</t>
        </is>
      </c>
      <c r="C5" s="2" t="inlineStr">
        <is>
          <t>다음 주</t>
        </is>
      </c>
      <c r="D5" s="2" t="inlineStr">
        <is>
          <t>18–22</t>
        </is>
      </c>
      <c r="E5" s="2" t="inlineStr"/>
      <c r="F5" s="2" t="inlineStr">
        <is>
          <t>모호</t>
        </is>
      </c>
      <c r="G5" s="2">
        <f>IF(F5="충족","","확인 필요")</f>
        <v/>
      </c>
      <c r="H5" s="2" t="inlineStr">
        <is>
          <t>모호 표현 '다음 주' → 날짜로 단정하지 않음</t>
        </is>
      </c>
      <c r="I5" s="2" t="inlineStr">
        <is>
          <t>'다음 주'은(는) 구체적인 날짜가 아닙니다. 희망 납기일을 정확한 날짜(예: 2026-09-25)로 알려주세요.</t>
        </is>
      </c>
      <c r="J5" s="5" t="inlineStr"/>
      <c r="K5" s="2" t="inlineStr"/>
      <c r="L5" s="2" t="inlineStr"/>
    </row>
    <row r="6">
      <c r="A6" s="2" t="inlineStr">
        <is>
          <t>D04-13</t>
        </is>
      </c>
      <c r="B6" s="2" t="inlineStr">
        <is>
          <t>배송 위치</t>
        </is>
      </c>
      <c r="C6" s="2" t="inlineStr">
        <is>
          <t>A현장</t>
        </is>
      </c>
      <c r="D6" s="2" t="inlineStr">
        <is>
          <t>0–3</t>
        </is>
      </c>
      <c r="E6" s="2" t="inlineStr"/>
      <c r="F6" s="2" t="inlineStr">
        <is>
          <t>모호</t>
        </is>
      </c>
      <c r="G6" s="2">
        <f>IF(F6="충족","","확인 필요")</f>
        <v/>
      </c>
      <c r="H6" s="2" t="inlineStr">
        <is>
          <t>현장명만 있고 세부 위치 없음</t>
        </is>
      </c>
      <c r="I6" s="2" t="inlineStr">
        <is>
          <t>'A현장' 내 세부 배송 위치(동·층·창고·게이트)를 알려주세요.</t>
        </is>
      </c>
      <c r="J6" s="5" t="inlineStr"/>
      <c r="K6" s="2" t="inlineStr"/>
      <c r="L6" s="2" t="inlineStr"/>
    </row>
    <row r="7">
      <c r="A7" s="2" t="inlineStr">
        <is>
          <t>D04-13</t>
        </is>
      </c>
      <c r="B7" s="2" t="inlineStr">
        <is>
          <t>규격</t>
        </is>
      </c>
      <c r="C7" s="2" t="inlineStr"/>
      <c r="D7" s="2" t="inlineStr"/>
      <c r="E7" s="2" t="inlineStr">
        <is>
          <t>50A</t>
        </is>
      </c>
      <c r="F7" s="2" t="inlineStr">
        <is>
          <t>충족</t>
        </is>
      </c>
      <c r="G7" s="2">
        <f>IF(F7="충족","","확인 필요")</f>
        <v/>
      </c>
      <c r="H7" s="2" t="inlineStr">
        <is>
          <t>품목 ID 확정 → 사전 규격 '50A' 적용(원문값 없음)</t>
        </is>
      </c>
      <c r="I7" s="2" t="inlineStr"/>
      <c r="J7" s="5" t="inlineStr"/>
      <c r="K7" s="2" t="inlineStr"/>
      <c r="L7" s="2" t="inlineStr"/>
    </row>
    <row r="8">
      <c r="A8" t="inlineStr">
        <is>
          <t>(조별 입력)</t>
        </is>
      </c>
      <c r="B8" t="inlineStr">
        <is>
          <t>품목 ID</t>
        </is>
      </c>
      <c r="C8" t="inlineStr"/>
      <c r="D8" t="inlineStr"/>
      <c r="E8" t="inlineStr"/>
      <c r="F8" t="inlineStr"/>
      <c r="G8">
        <f>IF(F9="충족","","확인 필요")</f>
        <v/>
      </c>
      <c r="H8" t="inlineStr"/>
      <c r="I8" t="inlineStr"/>
      <c r="J8" t="inlineStr"/>
      <c r="K8" t="inlineStr"/>
      <c r="L8" t="inlineStr"/>
    </row>
    <row r="9">
      <c r="J9" s="6" t="n"/>
    </row>
    <row r="10">
      <c r="A10" t="inlineStr">
        <is>
          <t>(조별 입력)</t>
        </is>
      </c>
      <c r="B10" t="inlineStr">
        <is>
          <t>수량</t>
        </is>
      </c>
      <c r="C10" t="inlineStr"/>
      <c r="D10" t="inlineStr"/>
      <c r="E10" t="inlineStr"/>
      <c r="F10" t="inlineStr"/>
      <c r="G10">
        <f>IF(F10="충족","","확인 필요")</f>
        <v/>
      </c>
      <c r="H10" t="inlineStr"/>
      <c r="I10" t="inlineStr"/>
      <c r="J10" s="6" t="inlineStr"/>
      <c r="K10" t="inlineStr"/>
      <c r="L10" t="inlineStr"/>
    </row>
    <row r="11">
      <c r="A11" t="inlineStr">
        <is>
          <t>(조별 입력)</t>
        </is>
      </c>
      <c r="B11" t="inlineStr">
        <is>
          <t>단위</t>
        </is>
      </c>
      <c r="C11" t="inlineStr"/>
      <c r="D11" t="inlineStr"/>
      <c r="E11" t="inlineStr"/>
      <c r="F11" t="inlineStr"/>
      <c r="G11">
        <f>IF(F11="충족","","확인 필요")</f>
        <v/>
      </c>
      <c r="H11" t="inlineStr"/>
      <c r="I11" t="inlineStr"/>
      <c r="J11" s="6" t="inlineStr"/>
      <c r="K11" t="inlineStr"/>
      <c r="L11" t="inlineStr"/>
    </row>
    <row r="12">
      <c r="A12" t="inlineStr">
        <is>
          <t>(조별 입력)</t>
        </is>
      </c>
      <c r="B12" t="inlineStr">
        <is>
          <t>희망일</t>
        </is>
      </c>
      <c r="C12" t="inlineStr"/>
      <c r="D12" t="inlineStr"/>
      <c r="E12" t="inlineStr"/>
      <c r="F12" t="inlineStr"/>
      <c r="G12">
        <f>IF(F12="충족","","확인 필요")</f>
        <v/>
      </c>
      <c r="H12" t="inlineStr"/>
      <c r="I12" t="inlineStr"/>
      <c r="J12" s="6" t="inlineStr"/>
      <c r="K12" t="inlineStr"/>
      <c r="L12" t="inlineStr"/>
    </row>
    <row r="13">
      <c r="A13" t="inlineStr">
        <is>
          <t>(조별 입력)</t>
        </is>
      </c>
      <c r="B13" t="inlineStr">
        <is>
          <t>배송 위치</t>
        </is>
      </c>
      <c r="C13" t="inlineStr"/>
      <c r="D13" t="inlineStr"/>
      <c r="E13" t="inlineStr"/>
      <c r="F13" t="inlineStr"/>
      <c r="G13">
        <f>IF(F13="충족","","확인 필요")</f>
        <v/>
      </c>
      <c r="H13" t="inlineStr"/>
      <c r="I13" t="inlineStr"/>
      <c r="J13" s="6" t="inlineStr"/>
      <c r="K13" t="inlineStr"/>
      <c r="L13" t="inlineStr"/>
    </row>
    <row r="14">
      <c r="A14" t="inlineStr">
        <is>
          <t>(조별 입력)</t>
        </is>
      </c>
      <c r="B14" t="inlineStr">
        <is>
          <t>규격</t>
        </is>
      </c>
      <c r="C14" t="inlineStr"/>
      <c r="D14" t="inlineStr"/>
      <c r="E14" t="inlineStr"/>
      <c r="F14" t="inlineStr"/>
      <c r="G14">
        <f>IF(F14="충족","","확인 필요")</f>
        <v/>
      </c>
      <c r="H14" t="inlineStr"/>
      <c r="I14" t="inlineStr"/>
      <c r="J14" s="6" t="inlineStr"/>
      <c r="K14" t="inlineStr"/>
      <c r="L14" t="inlineStr"/>
    </row>
    <row r="15">
      <c r="A15" t="inlineStr">
        <is>
          <t>(조별 입력)</t>
        </is>
      </c>
      <c r="B15" t="inlineStr">
        <is>
          <t>품목 ID</t>
        </is>
      </c>
      <c r="C15" t="inlineStr"/>
      <c r="D15" t="inlineStr"/>
      <c r="E15" t="inlineStr"/>
      <c r="F15" t="inlineStr"/>
      <c r="G15">
        <f>IF(F16="충족","","확인 필요")</f>
        <v/>
      </c>
      <c r="H15" t="inlineStr"/>
      <c r="I15" t="inlineStr"/>
      <c r="J15" t="inlineStr"/>
      <c r="K15" t="inlineStr"/>
      <c r="L15" t="inlineStr"/>
    </row>
    <row r="16">
      <c r="J16" s="6" t="n"/>
    </row>
    <row r="17">
      <c r="A17" t="inlineStr">
        <is>
          <t>(조별 입력)</t>
        </is>
      </c>
      <c r="B17" t="inlineStr">
        <is>
          <t>수량</t>
        </is>
      </c>
      <c r="C17" t="inlineStr"/>
      <c r="D17" t="inlineStr"/>
      <c r="E17" t="inlineStr"/>
      <c r="F17" t="inlineStr"/>
      <c r="G17">
        <f>IF(F17="충족","","확인 필요")</f>
        <v/>
      </c>
      <c r="H17" t="inlineStr"/>
      <c r="I17" t="inlineStr"/>
      <c r="J17" s="6" t="inlineStr"/>
      <c r="K17" t="inlineStr"/>
      <c r="L17" t="inlineStr"/>
    </row>
    <row r="18">
      <c r="A18" t="inlineStr">
        <is>
          <t>(조별 입력)</t>
        </is>
      </c>
      <c r="B18" t="inlineStr">
        <is>
          <t>단위</t>
        </is>
      </c>
      <c r="C18" t="inlineStr"/>
      <c r="D18" t="inlineStr"/>
      <c r="E18" t="inlineStr"/>
      <c r="F18" t="inlineStr"/>
      <c r="G18">
        <f>IF(F18="충족","","확인 필요")</f>
        <v/>
      </c>
      <c r="H18" t="inlineStr"/>
      <c r="I18" t="inlineStr"/>
      <c r="J18" s="6" t="inlineStr"/>
      <c r="K18" t="inlineStr"/>
      <c r="L18" t="inlineStr"/>
    </row>
    <row r="19">
      <c r="A19" t="inlineStr">
        <is>
          <t>(조별 입력)</t>
        </is>
      </c>
      <c r="B19" t="inlineStr">
        <is>
          <t>희망일</t>
        </is>
      </c>
      <c r="C19" t="inlineStr"/>
      <c r="D19" t="inlineStr"/>
      <c r="E19" t="inlineStr"/>
      <c r="F19" t="inlineStr"/>
      <c r="G19">
        <f>IF(F19="충족","","확인 필요")</f>
        <v/>
      </c>
      <c r="H19" t="inlineStr"/>
      <c r="I19" t="inlineStr"/>
      <c r="J19" s="6" t="inlineStr"/>
      <c r="K19" t="inlineStr"/>
      <c r="L19" t="inlineStr"/>
    </row>
    <row r="20">
      <c r="A20" t="inlineStr">
        <is>
          <t>(조별 입력)</t>
        </is>
      </c>
      <c r="B20" t="inlineStr">
        <is>
          <t>배송 위치</t>
        </is>
      </c>
      <c r="C20" t="inlineStr"/>
      <c r="D20" t="inlineStr"/>
      <c r="E20" t="inlineStr"/>
      <c r="F20" t="inlineStr"/>
      <c r="G20">
        <f>IF(F20="충족","","확인 필요")</f>
        <v/>
      </c>
      <c r="H20" t="inlineStr"/>
      <c r="I20" t="inlineStr"/>
      <c r="J20" s="6" t="inlineStr"/>
      <c r="K20" t="inlineStr"/>
      <c r="L20" t="inlineStr"/>
    </row>
    <row r="21">
      <c r="A21" t="inlineStr">
        <is>
          <t>(조별 입력)</t>
        </is>
      </c>
      <c r="B21" t="inlineStr">
        <is>
          <t>규격</t>
        </is>
      </c>
      <c r="C21" t="inlineStr"/>
      <c r="D21" t="inlineStr"/>
      <c r="E21" t="inlineStr"/>
      <c r="F21" t="inlineStr"/>
      <c r="G21">
        <f>IF(F21="충족","","확인 필요")</f>
        <v/>
      </c>
      <c r="H21" t="inlineStr"/>
      <c r="I21" t="inlineStr"/>
      <c r="J21" s="6" t="inlineStr"/>
      <c r="K21" t="inlineStr"/>
      <c r="L21" t="inlineStr"/>
    </row>
  </sheetData>
  <dataValidations count="1">
    <dataValidation sqref="F2 F3 F4 F5 F6 F7 F9 F10 F11 F12 F13 F14 F16 F17 F18 F19 F20 F21" showDropDown="0" showInputMessage="0" showErrorMessage="0" allowBlank="1" type="list">
      <formula1>"충족,누락,모호,불일치"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30" customWidth="1" min="5" max="5"/>
  </cols>
  <sheetData>
    <row r="1">
      <c r="A1" s="4" t="inlineStr">
        <is>
          <t>업무 단계</t>
        </is>
      </c>
      <c r="B1" s="4" t="inlineStr">
        <is>
          <t>AI 제안 (문서 읽기·분류·초안)</t>
        </is>
      </c>
      <c r="C1" s="4" t="inlineStr">
        <is>
          <t>규칙·화면 (계산식·필수항목표·공동 목록)</t>
        </is>
      </c>
      <c r="D1" s="4" t="inlineStr">
        <is>
          <t>사람 확정 (판단·승인)</t>
        </is>
      </c>
      <c r="E1" s="4" t="inlineStr">
        <is>
          <t>우리 조 메모</t>
        </is>
      </c>
    </row>
    <row r="2">
      <c r="A2" s="2" t="inlineStr">
        <is>
          <t>요청서에서 항목 읽기</t>
        </is>
      </c>
      <c r="B2" s="2" t="inlineStr">
        <is>
          <t>원문 값·발췌 추출, 표준명 후보 제안</t>
        </is>
      </c>
      <c r="C2" s="2" t="inlineStr">
        <is>
          <t>6개 필수 항목 스키마</t>
        </is>
      </c>
      <c r="D2" s="5" t="inlineStr">
        <is>
          <t>읽기 어려운 글자, 원문과 다른 추출 판단</t>
        </is>
      </c>
      <c r="E2" s="2" t="inlineStr"/>
    </row>
    <row r="3">
      <c r="A3" s="2" t="inlineStr">
        <is>
          <t>자재 표현 정리</t>
        </is>
      </c>
      <c r="B3" s="2" t="inlineStr">
        <is>
          <t>별칭 → 표준명 후보 나열</t>
        </is>
      </c>
      <c r="C3" s="2" t="inlineStr">
        <is>
          <t>승인된 용어 사전</t>
        </is>
      </c>
      <c r="D3" s="5" t="inlineStr">
        <is>
          <t>동일·대체 품목, 현장 적합성 확정</t>
        </is>
      </c>
      <c r="E3" s="2" t="inlineStr"/>
    </row>
    <row r="4">
      <c r="A4" s="2" t="inlineStr">
        <is>
          <t>누락·모호 찾기</t>
        </is>
      </c>
      <c r="B4" s="2" t="inlineStr">
        <is>
          <t>보완 질문 초안</t>
        </is>
      </c>
      <c r="C4" s="2" t="inlineStr">
        <is>
          <t>필수 항목 규칙표(충족/누락/모호/불일치)</t>
        </is>
      </c>
      <c r="D4" s="5" t="inlineStr">
        <is>
          <t>필수 정의·예외 승인</t>
        </is>
      </c>
      <c r="E4" s="2" t="inlineStr"/>
    </row>
    <row r="5">
      <c r="A5" s="2" t="inlineStr">
        <is>
          <t>수량·단위 확인</t>
        </is>
      </c>
      <c r="B5" s="2" t="inlineStr">
        <is>
          <t>—</t>
        </is>
      </c>
      <c r="C5" s="2" t="inlineStr">
        <is>
          <t>표준 단위표, 동의어(EA=개) 환산</t>
        </is>
      </c>
      <c r="D5" s="5" t="inlineStr">
        <is>
          <t>포장 단위·가격 조건 유효성</t>
        </is>
      </c>
      <c r="E5" s="2" t="inlineStr"/>
    </row>
    <row r="6">
      <c r="A6" s="2" t="inlineStr">
        <is>
          <t>희망일 확인</t>
        </is>
      </c>
      <c r="B6" s="2" t="inlineStr">
        <is>
          <t>모호 표현을 '확인 필요'로 표시(날짜 변환 금지)</t>
        </is>
      </c>
      <c r="C6" s="2" t="inlineStr">
        <is>
          <t>기준일 이전 날짜 → 불일치</t>
        </is>
      </c>
      <c r="D6" s="5" t="inlineStr">
        <is>
          <t>실제 납기 협의·확정</t>
        </is>
      </c>
      <c r="E6" s="2" t="inlineStr"/>
    </row>
    <row r="7">
      <c r="A7" s="2" t="inlineStr">
        <is>
          <t>배송 위치 확인</t>
        </is>
      </c>
      <c r="B7" s="2" t="inlineStr">
        <is>
          <t>현장명·세부 위치 분리</t>
        </is>
      </c>
      <c r="C7" s="2" t="inlineStr">
        <is>
          <t>세부 위치 토큰(동·층·창고·게이트)</t>
        </is>
      </c>
      <c r="D7" s="5" t="inlineStr">
        <is>
          <t>실입고 위치 확정</t>
        </is>
      </c>
      <c r="E7" s="2" t="inlineStr"/>
    </row>
    <row r="8">
      <c r="A8" s="2" t="inlineStr"/>
      <c r="B8" s="2" t="inlineStr"/>
      <c r="C8" s="2" t="inlineStr"/>
      <c r="D8" s="5" t="inlineStr"/>
      <c r="E8" s="2" t="inlineStr"/>
    </row>
    <row r="9">
      <c r="A9" s="2" t="inlineStr"/>
      <c r="B9" s="2" t="inlineStr"/>
      <c r="C9" s="2" t="inlineStr"/>
      <c r="D9" s="5" t="inlineStr"/>
      <c r="E9" s="2" t="inlineStr"/>
    </row>
    <row r="10">
      <c r="A10" s="2" t="inlineStr"/>
      <c r="B10" s="2" t="inlineStr"/>
      <c r="C10" s="2" t="inlineStr"/>
      <c r="D10" s="5" t="inlineStr"/>
      <c r="E1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60" customWidth="1" min="4" max="4"/>
  </cols>
  <sheetData>
    <row r="1">
      <c r="A1" s="4" t="inlineStr">
        <is>
          <t>칸</t>
        </is>
      </c>
      <c r="B1" s="4" t="inlineStr">
        <is>
          <t>작성 안내</t>
        </is>
      </c>
      <c r="C1" s="4" t="inlineStr">
        <is>
          <t>예시 (후보 A · 교육용)</t>
        </is>
      </c>
      <c r="D1" s="4" t="inlineStr">
        <is>
          <t>우리 조 작성</t>
        </is>
      </c>
    </row>
    <row r="2" ht="60" customHeight="1">
      <c r="A2" s="2" t="inlineStr">
        <is>
          <t>1 문제 정의</t>
        </is>
      </c>
      <c r="B2" s="2" t="inlineStr">
        <is>
          <t>누가·무엇을·얼마나 자주 반복하는가</t>
        </is>
      </c>
      <c r="C2" s="2" t="inlineStr">
        <is>
          <t>현장지원팀이 불완전한 구매 요청 때문에 건당 평균 2회 추가 문의(교육용 가정). 구매팀은 단위·배송 조건을 다시 확인</t>
        </is>
      </c>
      <c r="D2" s="5" t="inlineStr"/>
    </row>
    <row r="3" ht="60" customHeight="1">
      <c r="A3" s="2" t="inlineStr">
        <is>
          <t>2 범위</t>
        </is>
      </c>
      <c r="B3" s="2" t="inlineStr">
        <is>
          <t>한 자재군 · 한 업무 단계</t>
        </is>
      </c>
      <c r="C3" s="2" t="inlineStr">
        <is>
          <t>배관 자재군 · 구매 요청서 접수 단계. 견적 비교·발주는 제외</t>
        </is>
      </c>
      <c r="D3" s="5" t="inlineStr"/>
    </row>
    <row r="4" ht="60" customHeight="1">
      <c r="A4" s="2" t="inlineStr">
        <is>
          <t>3 입력 자료</t>
        </is>
      </c>
      <c r="B4" s="2" t="inlineStr">
        <is>
          <t>어떤 문서, 몇 건, 누가 제공</t>
        </is>
      </c>
      <c r="C4" s="2" t="inlineStr">
        <is>
          <t>가상 구매 요청서 30건(읽기 쉬운 + 저품질 스캔), 필수 항목표, 용어 사전. 정답표는 현장지원 담당자가 검토</t>
        </is>
      </c>
      <c r="D4" s="5" t="inlineStr"/>
    </row>
    <row r="5" ht="60" customHeight="1">
      <c r="A5" s="2" t="inlineStr">
        <is>
          <t>4 기대 결과</t>
        </is>
      </c>
      <c r="B5" s="2" t="inlineStr">
        <is>
          <t>산출물 형태</t>
        </is>
      </c>
      <c r="C5" s="2" t="inlineStr">
        <is>
          <t>누락 표시표(원문 값/표준명 후보/확인 필요) + 보완 질문 초안 1건당 1개</t>
        </is>
      </c>
      <c r="D5" s="5" t="inlineStr"/>
    </row>
    <row r="6" ht="60" customHeight="1">
      <c r="A6" s="2" t="inlineStr">
        <is>
          <t>5 AI/규칙/사람</t>
        </is>
      </c>
      <c r="B6" s="2" t="inlineStr">
        <is>
          <t>역할 구분</t>
        </is>
      </c>
      <c r="C6" s="2" t="inlineStr">
        <is>
          <t>AI: 추출·후보·질문 초안 / 규칙: 필수 항목 판정·게이트 / 사람: 확정·예외 승인</t>
        </is>
      </c>
      <c r="D6" s="5" t="inlineStr"/>
    </row>
    <row r="7" ht="60" customHeight="1">
      <c r="A7" s="2" t="inlineStr">
        <is>
          <t>6 기준선</t>
        </is>
      </c>
      <c r="B7" s="2" t="inlineStr">
        <is>
          <t>현재 시간·오류를 어떻게 측정</t>
        </is>
      </c>
      <c r="C7" s="2" t="inlineStr">
        <is>
          <t>시간 기록지로 수동 처리 5건 측정(열기·입력·검토·수정 포함). 현재 추가 문의 횟수 기록</t>
        </is>
      </c>
      <c r="D7" s="5" t="inlineStr"/>
    </row>
    <row r="8" ht="60" customHeight="1">
      <c r="A8" s="2" t="inlineStr">
        <is>
          <t>7 성공·중단 기준</t>
        </is>
      </c>
      <c r="B8" s="2" t="inlineStr">
        <is>
          <t>수치 목표와 중단 조건</t>
        </is>
      </c>
      <c r="C8" s="2" t="inlineStr">
        <is>
          <t>탐지율 ≥95%, 오탐 ≤10%, 중요 오류 0, 추적 100%, 시간 중앙값 30% 단축(교육용 가정). 검토 비용으로 총시간이 늘면 중단</t>
        </is>
      </c>
      <c r="D8" s="5" t="inlineStr"/>
    </row>
    <row r="9" ht="60" customHeight="1">
      <c r="A9" s="2" t="inlineStr">
        <is>
          <t>8 실행 계획</t>
        </is>
      </c>
      <c r="B9" s="2" t="inlineStr">
        <is>
          <t>담당·일정·정답 검토자·갱신 책임</t>
        </is>
      </c>
      <c r="C9" s="2" t="inlineStr">
        <is>
          <t>2주 시험: 1주 자료 준비·정답표, 1주 시험·측정. 정답 검토자 1명, 용어 사전 갱신 담당 1명(교육용 가정)</t>
        </is>
      </c>
      <c r="D9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10" customWidth="1" min="5" max="5"/>
    <col width="30" customWidth="1" min="6" max="6"/>
  </cols>
  <sheetData>
    <row r="1">
      <c r="A1" s="4" t="inlineStr">
        <is>
          <t>평가 항목</t>
        </is>
      </c>
      <c r="B1" s="4" t="inlineStr">
        <is>
          <t>0점</t>
        </is>
      </c>
      <c r="C1" s="4" t="inlineStr">
        <is>
          <t>1점</t>
        </is>
      </c>
      <c r="D1" s="4" t="inlineStr">
        <is>
          <t>2점</t>
        </is>
      </c>
      <c r="E1" s="4" t="inlineStr">
        <is>
          <t>점수(0–2)</t>
        </is>
      </c>
      <c r="F1" s="4" t="inlineStr">
        <is>
          <t>메모</t>
        </is>
      </c>
    </row>
    <row r="2">
      <c r="A2" s="2" t="inlineStr">
        <is>
          <t>문제 정의</t>
        </is>
      </c>
      <c r="B2" s="2" t="inlineStr">
        <is>
          <t>기능 이름만 있음</t>
        </is>
      </c>
      <c r="C2" s="2" t="inlineStr">
        <is>
          <t>문제는 있으나 빈도·담당 없음</t>
        </is>
      </c>
      <c r="D2" s="2" t="inlineStr">
        <is>
          <t>누가·무엇을·얼마나 자주가 있음</t>
        </is>
      </c>
      <c r="E2" s="5" t="inlineStr"/>
      <c r="F2" s="2" t="inlineStr"/>
    </row>
    <row r="3">
      <c r="A3" s="2" t="inlineStr">
        <is>
          <t>입력 자료</t>
        </is>
      </c>
      <c r="B3" s="2" t="inlineStr">
        <is>
          <t>없음</t>
        </is>
      </c>
      <c r="C3" s="2" t="inlineStr">
        <is>
          <t>종류만 있음</t>
        </is>
      </c>
      <c r="D3" s="2" t="inlineStr">
        <is>
          <t>종류·건수·제공자·정답 검토자 있음</t>
        </is>
      </c>
      <c r="E3" s="5" t="inlineStr"/>
      <c r="F3" s="2" t="inlineStr"/>
    </row>
    <row r="4">
      <c r="A4" s="2" t="inlineStr">
        <is>
          <t>사람 판단</t>
        </is>
      </c>
      <c r="B4" s="2" t="inlineStr">
        <is>
          <t>AI가 다 함</t>
        </is>
      </c>
      <c r="C4" s="2" t="inlineStr">
        <is>
          <t>일부 구분</t>
        </is>
      </c>
      <c r="D4" s="2" t="inlineStr">
        <is>
          <t>AI/규칙/사람 역할이 항목별로 구분</t>
        </is>
      </c>
      <c r="E4" s="5" t="inlineStr"/>
      <c r="F4" s="2" t="inlineStr"/>
    </row>
    <row r="5">
      <c r="A5" s="2" t="inlineStr">
        <is>
          <t>검증 기준</t>
        </is>
      </c>
      <c r="B5" s="2" t="inlineStr">
        <is>
          <t>없음</t>
        </is>
      </c>
      <c r="C5" s="2" t="inlineStr">
        <is>
          <t>성공 기준만</t>
        </is>
      </c>
      <c r="D5" s="2" t="inlineStr">
        <is>
          <t>성공·중단 기준과 기준선 측정 방법</t>
        </is>
      </c>
      <c r="E5" s="5" t="inlineStr"/>
      <c r="F5" s="2" t="inlineStr"/>
    </row>
    <row r="6">
      <c r="A6" s="2" t="inlineStr">
        <is>
          <t>실행 가능성</t>
        </is>
      </c>
      <c r="B6" s="2" t="inlineStr">
        <is>
          <t>담당·일정 없음</t>
        </is>
      </c>
      <c r="C6" s="2" t="inlineStr">
        <is>
          <t>일정만</t>
        </is>
      </c>
      <c r="D6" s="2" t="inlineStr">
        <is>
          <t>담당·일정·갱신 책임 있음</t>
        </is>
      </c>
      <c r="E6" s="5" t="inlineStr"/>
      <c r="F6" s="2" t="inlineStr"/>
    </row>
    <row r="7">
      <c r="A7" s="3" t="inlineStr">
        <is>
          <t>합계</t>
        </is>
      </c>
      <c r="B7" s="2" t="inlineStr"/>
      <c r="C7" s="2" t="inlineStr"/>
      <c r="D7" s="2" t="inlineStr"/>
      <c r="E7" s="2">
        <f>SUM(E2:E6)</f>
        <v/>
      </c>
      <c r="F7" s="2" t="inlineStr">
        <is>
          <t>목표 8점. 입력 자료·사람 판단·검증 기준 중 0점이면 보완</t>
        </is>
      </c>
    </row>
  </sheetData>
  <dataValidations count="1">
    <dataValidation sqref="E2 E3 E4 E5 E6" showDropDown="0" showInputMessage="0" showErrorMessage="0" allowBlank="1" type="whole" operator="between">
      <formula1>0</formula1>
      <formula2>2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0" customWidth="1" min="7" max="7"/>
    <col width="12" customWidth="1" min="8" max="8"/>
    <col width="14" customWidth="1" min="9" max="9"/>
    <col width="10" customWidth="1" min="10" max="10"/>
  </cols>
  <sheetData>
    <row r="1">
      <c r="A1" s="4" t="inlineStr">
        <is>
          <t>문서ID</t>
        </is>
      </c>
      <c r="B1" s="4" t="inlineStr">
        <is>
          <t>방식(수동/AI보조)</t>
        </is>
      </c>
      <c r="C1" s="4" t="inlineStr">
        <is>
          <t>열기·읽기(분)</t>
        </is>
      </c>
      <c r="D1" s="4" t="inlineStr">
        <is>
          <t>입력·추출(분)</t>
        </is>
      </c>
      <c r="E1" s="4" t="inlineStr">
        <is>
          <t>검토(분)</t>
        </is>
      </c>
      <c r="F1" s="4" t="inlineStr">
        <is>
          <t>수정·재작업(분)</t>
        </is>
      </c>
      <c r="G1" s="4" t="inlineStr">
        <is>
          <t>합계(분)</t>
        </is>
      </c>
      <c r="H1" s="4" t="inlineStr">
        <is>
          <t>누락 찾은 수</t>
        </is>
      </c>
      <c r="I1" s="4" t="inlineStr">
        <is>
          <t>추가 문의 필요 수</t>
        </is>
      </c>
      <c r="J1" s="4" t="inlineStr">
        <is>
          <t>기록자</t>
        </is>
      </c>
    </row>
    <row r="2">
      <c r="A2" t="inlineStr"/>
      <c r="B2" t="inlineStr"/>
      <c r="C2" t="inlineStr"/>
      <c r="D2" t="inlineStr"/>
      <c r="E2" t="inlineStr"/>
      <c r="F2" t="inlineStr"/>
      <c r="G2">
        <f>SUM(C2:F2)</f>
        <v/>
      </c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>
        <f>SUM(C3:F3)</f>
        <v/>
      </c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>
        <f>SUM(C4:F4)</f>
        <v/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>
        <f>SUM(C5:F5)</f>
        <v/>
      </c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>
        <f>SUM(C6:F6)</f>
        <v/>
      </c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>
        <f>SUM(C7:F7)</f>
        <v/>
      </c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>
        <f>SUM(C8:F8)</f>
        <v/>
      </c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>
        <f>SUM(C9:F9)</f>
        <v/>
      </c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>
        <f>SUM(C10:F10)</f>
        <v/>
      </c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>
        <f>SUM(C11:F11)</f>
        <v/>
      </c>
      <c r="H11" t="inlineStr"/>
      <c r="I11" t="inlineStr"/>
      <c r="J11" t="inlineStr"/>
    </row>
    <row r="13">
      <c r="A13" t="inlineStr">
        <is>
          <t>중앙값(수동)</t>
        </is>
      </c>
      <c r="B13" t="inlineStr"/>
      <c r="C13" t="inlineStr"/>
      <c r="D13" t="inlineStr"/>
      <c r="E13" t="inlineStr"/>
      <c r="F13" t="inlineStr"/>
      <c r="G13">
        <f>IFERROR(MEDIAN(IF(B2:B11="수동",G2:G11)),"")</f>
        <v/>
      </c>
    </row>
    <row r="14">
      <c r="A14" t="inlineStr">
        <is>
          <t>중앙값(AI보조)</t>
        </is>
      </c>
      <c r="B14" t="inlineStr"/>
      <c r="C14" t="inlineStr"/>
      <c r="D14" t="inlineStr"/>
      <c r="E14" t="inlineStr"/>
      <c r="F14" t="inlineStr"/>
      <c r="G14">
        <f>IFERROR(MEDIAN(IF(B2:B11="AI보조",G2:G11)),"")</f>
        <v/>
      </c>
    </row>
    <row r="15">
      <c r="A15" t="inlineStr">
        <is>
          <t>단축률</t>
        </is>
      </c>
      <c r="B15" t="inlineStr"/>
      <c r="C15" t="inlineStr"/>
      <c r="D15" t="inlineStr"/>
      <c r="E15" t="inlineStr"/>
      <c r="F15" t="inlineStr"/>
      <c r="G15">
        <f>IFERROR(1-G14/G13,"")</f>
        <v/>
      </c>
    </row>
    <row r="16">
      <c r="A16" t="inlineStr"/>
      <c r="B16" t="inlineStr">
        <is>
          <t>시간에는 사람의 검토·수정 시간을 반드시 포함한다(기획안 다섯 문장 ⑤). 배열 수식은 Excel 365/Google Sheets에서 동작.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22" customWidth="1" min="4" max="4"/>
    <col width="20" customWidth="1" min="5" max="5"/>
  </cols>
  <sheetData>
    <row r="1">
      <c r="A1" s="4" t="inlineStr">
        <is>
          <t>지표</t>
        </is>
      </c>
      <c r="B1" s="4" t="inlineStr">
        <is>
          <t>측정 요지</t>
        </is>
      </c>
      <c r="C1" s="4" t="inlineStr">
        <is>
          <t>교육용 목표</t>
        </is>
      </c>
      <c r="D1" s="4" t="inlineStr">
        <is>
          <t>규칙 백엔드 실측(가상 표본)</t>
        </is>
      </c>
      <c r="E1" s="4" t="inlineStr">
        <is>
          <t>우리 조 PoC 목표</t>
        </is>
      </c>
    </row>
    <row r="2">
      <c r="A2" s="2" t="inlineStr">
        <is>
          <t>건당 실제 작업시간</t>
        </is>
      </c>
      <c r="B2" s="2" t="inlineStr">
        <is>
          <t>열기·입력·검토·수정·재작업 포함(대기 중 실작업만)</t>
        </is>
      </c>
      <c r="C2" s="2" t="inlineStr">
        <is>
          <t>중앙값 30% 이상 단축</t>
        </is>
      </c>
      <c r="D2" s="2" t="inlineStr">
        <is>
          <t>시간기록지로 측정</t>
        </is>
      </c>
      <c r="E2" s="2" t="inlineStr"/>
    </row>
    <row r="3">
      <c r="A3" s="2" t="inlineStr">
        <is>
          <t>누락 탐지율</t>
        </is>
      </c>
      <c r="B3" s="2" t="inlineStr">
        <is>
          <t>찾은 필수 누락 ÷ 정답표 필수 누락(항목 수)</t>
        </is>
      </c>
      <c r="C3" s="2" t="inlineStr">
        <is>
          <t>95% 이상</t>
        </is>
      </c>
      <c r="D3" s="2" t="inlineStr">
        <is>
          <t>100.0%</t>
        </is>
      </c>
      <c r="E3" s="2" t="inlineStr"/>
    </row>
    <row r="4">
      <c r="A4" s="2" t="inlineStr">
        <is>
          <t>잘못된 누락 경고 비율</t>
        </is>
      </c>
      <c r="B4" s="2" t="inlineStr">
        <is>
          <t>오탐 ÷ 전체 누락 경고</t>
        </is>
      </c>
      <c r="C4" s="2" t="inlineStr">
        <is>
          <t>10% 이하</t>
        </is>
      </c>
      <c r="D4" s="2" t="inlineStr">
        <is>
          <t>0.0%</t>
        </is>
      </c>
      <c r="E4" s="2" t="inlineStr"/>
    </row>
    <row r="5">
      <c r="A5" s="2" t="inlineStr">
        <is>
          <t>중요 오류</t>
        </is>
      </c>
      <c r="B5" s="2" t="inlineStr">
        <is>
          <t>자재·수량·단위·희망일을 잘못 읽고 확정 가능으로 표시</t>
        </is>
      </c>
      <c r="C5" s="2" t="inlineStr">
        <is>
          <t>시험 표본 0건(소표본≠운영 무오류)</t>
        </is>
      </c>
      <c r="D5" s="2" t="inlineStr">
        <is>
          <t>0건</t>
        </is>
      </c>
      <c r="E5" s="2" t="inlineStr"/>
    </row>
    <row r="6">
      <c r="A6" s="2" t="inlineStr">
        <is>
          <t>원문 추적 가능 비율</t>
        </is>
      </c>
      <c r="B6" s="2" t="inlineStr">
        <is>
          <t>원문 위치 확인 가능한 추출 값 비율</t>
        </is>
      </c>
      <c r="C6" s="2" t="inlineStr">
        <is>
          <t>100%</t>
        </is>
      </c>
      <c r="D6" s="2" t="inlineStr">
        <is>
          <t>100.0%</t>
        </is>
      </c>
      <c r="E6" s="2" t="inlineStr"/>
    </row>
    <row r="7">
      <c r="A7" s="2" t="n"/>
      <c r="B7" s="2" t="n"/>
      <c r="C7" s="2" t="n"/>
      <c r="D7" s="2" t="n"/>
      <c r="E7" s="2" t="n"/>
    </row>
    <row r="8">
      <c r="A8" s="2" t="inlineStr">
        <is>
          <t>수치 목표는 교육용 가정이다. 실제 기획에서는 기준선 측정 후 조정한다.</t>
        </is>
      </c>
      <c r="B8" s="2" t="n"/>
      <c r="C8" s="2" t="n"/>
      <c r="D8" s="2" t="n"/>
      <c r="E8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0" customWidth="1" min="4" max="4"/>
    <col width="9" customWidth="1" min="5" max="5"/>
    <col width="12" customWidth="1" min="6" max="6"/>
    <col width="18" customWidth="1" min="7" max="7"/>
    <col width="12" customWidth="1" min="8" max="8"/>
    <col width="10" customWidth="1" min="9" max="9"/>
    <col width="10" customWidth="1" min="10" max="10"/>
    <col width="10" customWidth="1" min="11" max="11"/>
    <col width="30" customWidth="1" min="12" max="12"/>
    <col width="18" customWidth="1" min="13" max="13"/>
    <col width="34" customWidth="1" min="14" max="14"/>
  </cols>
  <sheetData>
    <row r="1">
      <c r="A1" s="4" t="inlineStr">
        <is>
          <t>업체</t>
        </is>
      </c>
      <c r="B1" s="4" t="inlineStr">
        <is>
          <t>품목ID</t>
        </is>
      </c>
      <c r="C1" s="4" t="inlineStr">
        <is>
          <t>표기 품명</t>
        </is>
      </c>
      <c r="D1" s="4" t="inlineStr">
        <is>
          <t>단가(원)</t>
        </is>
      </c>
      <c r="E1" s="4" t="inlineStr">
        <is>
          <t>단가 단위</t>
        </is>
      </c>
      <c r="F1" s="4" t="inlineStr">
        <is>
          <t>포장 단위</t>
        </is>
      </c>
      <c r="G1" s="4" t="inlineStr">
        <is>
          <t>배송비 조건</t>
        </is>
      </c>
      <c r="H1" s="4" t="inlineStr">
        <is>
          <t>납기</t>
        </is>
      </c>
      <c r="I1" s="4" t="inlineStr">
        <is>
          <t>표준 단위(사전)</t>
        </is>
      </c>
      <c r="J1" s="4" t="inlineStr">
        <is>
          <t>단위 일치?</t>
        </is>
      </c>
      <c r="K1" s="4" t="inlineStr">
        <is>
          <t>비교 가능?</t>
        </is>
      </c>
      <c r="L1" s="4" t="inlineStr">
        <is>
          <t>확인 필요 사항</t>
        </is>
      </c>
      <c r="M1" s="4" t="inlineStr">
        <is>
          <t>사람 확정</t>
        </is>
      </c>
      <c r="N1" s="4" t="inlineStr">
        <is>
          <t>비고(교육용 함정 설명)</t>
        </is>
      </c>
    </row>
    <row r="2">
      <c r="A2" s="2" t="inlineStr">
        <is>
          <t>가나상사</t>
        </is>
      </c>
      <c r="B2" s="2" t="inlineStr">
        <is>
          <t>P-03</t>
        </is>
      </c>
      <c r="C2" s="2" t="inlineStr">
        <is>
          <t>PVC 파이프 50A</t>
        </is>
      </c>
      <c r="D2" s="2" t="inlineStr">
        <is>
          <t>8,500</t>
        </is>
      </c>
      <c r="E2" s="2" t="inlineStr">
        <is>
          <t>본</t>
        </is>
      </c>
      <c r="F2" s="2" t="inlineStr">
        <is>
          <t>10본/묶음</t>
        </is>
      </c>
      <c r="G2" s="2" t="inlineStr">
        <is>
          <t>50만원 이상 무료</t>
        </is>
      </c>
      <c r="H2" s="2" t="inlineStr">
        <is>
          <t>발주 후 3일</t>
        </is>
      </c>
      <c r="I2" s="2">
        <f>IFERROR(VLOOKUP(B2,용어사전!$A:$D,4,FALSE),"")</f>
        <v/>
      </c>
      <c r="J2" s="2">
        <f>IF(OR(E2="",I2=""),"",IF(OR(E2=I2,AND(E2="EA",I2="개")),"예","아니오"))</f>
        <v/>
      </c>
      <c r="K2" s="2" t="inlineStr"/>
      <c r="L2" s="2" t="inlineStr"/>
      <c r="M2" s="5" t="inlineStr"/>
      <c r="N2" s="2" t="inlineStr"/>
    </row>
    <row r="3">
      <c r="A3" s="2" t="inlineStr">
        <is>
          <t>다라자재</t>
        </is>
      </c>
      <c r="B3" s="2" t="inlineStr">
        <is>
          <t>P-03</t>
        </is>
      </c>
      <c r="C3" s="2" t="inlineStr">
        <is>
          <t>PVC관 50A</t>
        </is>
      </c>
      <c r="D3" s="2" t="inlineStr">
        <is>
          <t>1,750</t>
        </is>
      </c>
      <c r="E3" s="2" t="inlineStr">
        <is>
          <t>m</t>
        </is>
      </c>
      <c r="F3" s="2" t="inlineStr">
        <is>
          <t>4m/본</t>
        </is>
      </c>
      <c r="G3" s="2" t="inlineStr">
        <is>
          <t>별도 청구</t>
        </is>
      </c>
      <c r="H3" s="2" t="inlineStr">
        <is>
          <t>발주 후 2일</t>
        </is>
      </c>
      <c r="I3" s="2">
        <f>IFERROR(VLOOKUP(B3,용어사전!$A:$D,4,FALSE),"")</f>
        <v/>
      </c>
      <c r="J3" s="2">
        <f>IF(OR(E3="",I3=""),"",IF(OR(E3=I3,AND(E3="EA",I3="개")),"예","아니오"))</f>
        <v/>
      </c>
      <c r="K3" s="2" t="inlineStr"/>
      <c r="L3" s="2" t="inlineStr"/>
      <c r="M3" s="5" t="inlineStr"/>
      <c r="N3" s="2" t="inlineStr">
        <is>
          <t>단가 단위가 m → 본 환산 필요</t>
        </is>
      </c>
    </row>
    <row r="4">
      <c r="A4" s="2" t="inlineStr">
        <is>
          <t>마바건자재</t>
        </is>
      </c>
      <c r="B4" s="2" t="inlineStr">
        <is>
          <t>P-03</t>
        </is>
      </c>
      <c r="C4" s="2" t="inlineStr">
        <is>
          <t>PVC 파이프</t>
        </is>
      </c>
      <c r="D4" s="2" t="inlineStr">
        <is>
          <t>8,200</t>
        </is>
      </c>
      <c r="E4" s="2" t="inlineStr">
        <is>
          <t>본</t>
        </is>
      </c>
      <c r="F4" s="2" t="inlineStr">
        <is>
          <t>미기재</t>
        </is>
      </c>
      <c r="G4" s="2" t="inlineStr">
        <is>
          <t>미기재</t>
        </is>
      </c>
      <c r="H4" s="2" t="inlineStr">
        <is>
          <t>협의</t>
        </is>
      </c>
      <c r="I4" s="2">
        <f>IFERROR(VLOOKUP(B4,용어사전!$A:$D,4,FALSE),"")</f>
        <v/>
      </c>
      <c r="J4" s="2">
        <f>IF(OR(E4="",I4=""),"",IF(OR(E4=I4,AND(E4="EA",I4="개")),"예","아니오"))</f>
        <v/>
      </c>
      <c r="K4" s="2" t="inlineStr"/>
      <c r="L4" s="2" t="inlineStr"/>
      <c r="M4" s="5" t="inlineStr"/>
      <c r="N4" s="2" t="inlineStr">
        <is>
          <t>규격·배송비 미기재 → 비교 불가 표시</t>
        </is>
      </c>
    </row>
    <row r="5">
      <c r="A5" s="2" t="inlineStr">
        <is>
          <t>가나상사</t>
        </is>
      </c>
      <c r="B5" s="2" t="inlineStr">
        <is>
          <t>P-01</t>
        </is>
      </c>
      <c r="C5" s="2" t="inlineStr">
        <is>
          <t>볼밸브 50A</t>
        </is>
      </c>
      <c r="D5" s="2" t="inlineStr">
        <is>
          <t>12,000</t>
        </is>
      </c>
      <c r="E5" s="2" t="inlineStr">
        <is>
          <t>개</t>
        </is>
      </c>
      <c r="F5" s="2" t="inlineStr">
        <is>
          <t>1개</t>
        </is>
      </c>
      <c r="G5" s="2" t="inlineStr">
        <is>
          <t>50만원 이상 무료</t>
        </is>
      </c>
      <c r="H5" s="2" t="inlineStr">
        <is>
          <t>발주 후 3일</t>
        </is>
      </c>
      <c r="I5" s="2">
        <f>IFERROR(VLOOKUP(B5,용어사전!$A:$D,4,FALSE),"")</f>
        <v/>
      </c>
      <c r="J5" s="2">
        <f>IF(OR(E5="",I5=""),"",IF(OR(E5=I5,AND(E5="EA",I5="개")),"예","아니오"))</f>
        <v/>
      </c>
      <c r="K5" s="2" t="inlineStr"/>
      <c r="L5" s="2" t="inlineStr"/>
      <c r="M5" s="5" t="inlineStr"/>
      <c r="N5" s="2" t="inlineStr"/>
    </row>
    <row r="6">
      <c r="A6" s="2" t="inlineStr">
        <is>
          <t>다라자재</t>
        </is>
      </c>
      <c r="B6" s="2" t="inlineStr">
        <is>
          <t>P-01</t>
        </is>
      </c>
      <c r="C6" s="2" t="inlineStr">
        <is>
          <t>볼밸브</t>
        </is>
      </c>
      <c r="D6" s="2" t="inlineStr">
        <is>
          <t>11,500</t>
        </is>
      </c>
      <c r="E6" s="2" t="inlineStr">
        <is>
          <t>EA</t>
        </is>
      </c>
      <c r="F6" s="2" t="inlineStr">
        <is>
          <t>1EA</t>
        </is>
      </c>
      <c r="G6" s="2" t="inlineStr">
        <is>
          <t>현장 직납 시 3만원</t>
        </is>
      </c>
      <c r="H6" s="2" t="inlineStr">
        <is>
          <t>발주 후 5일</t>
        </is>
      </c>
      <c r="I6" s="2">
        <f>IFERROR(VLOOKUP(B6,용어사전!$A:$D,4,FALSE),"")</f>
        <v/>
      </c>
      <c r="J6" s="2">
        <f>IF(OR(E6="",I6=""),"",IF(OR(E6=I6,AND(E6="EA",I6="개")),"예","아니오"))</f>
        <v/>
      </c>
      <c r="K6" s="2" t="inlineStr"/>
      <c r="L6" s="2" t="inlineStr"/>
      <c r="M6" s="5" t="inlineStr"/>
      <c r="N6" s="2" t="inlineStr">
        <is>
          <t>규격 미기재(50A/100A?) → 확인</t>
        </is>
      </c>
    </row>
    <row r="7">
      <c r="A7" s="2" t="inlineStr">
        <is>
          <t>마바건자재</t>
        </is>
      </c>
      <c r="B7" s="2" t="inlineStr">
        <is>
          <t>P-01</t>
        </is>
      </c>
      <c r="C7" s="2" t="inlineStr">
        <is>
          <t>볼밸브 50A</t>
        </is>
      </c>
      <c r="D7" s="2" t="inlineStr">
        <is>
          <t>10,900</t>
        </is>
      </c>
      <c r="E7" s="2" t="inlineStr">
        <is>
          <t>개</t>
        </is>
      </c>
      <c r="F7" s="2" t="inlineStr">
        <is>
          <t>10개/박스</t>
        </is>
      </c>
      <c r="G7" s="2" t="inlineStr">
        <is>
          <t>박스 단위만 무료</t>
        </is>
      </c>
      <c r="H7" s="2" t="inlineStr">
        <is>
          <t>발주 후 4일</t>
        </is>
      </c>
      <c r="I7" s="2">
        <f>IFERROR(VLOOKUP(B7,용어사전!$A:$D,4,FALSE),"")</f>
        <v/>
      </c>
      <c r="J7" s="2">
        <f>IF(OR(E7="",I7=""),"",IF(OR(E7=I7,AND(E7="EA",I7="개")),"예","아니오"))</f>
        <v/>
      </c>
      <c r="K7" s="2" t="inlineStr"/>
      <c r="L7" s="2" t="inlineStr"/>
      <c r="M7" s="5" t="inlineStr"/>
      <c r="N7" s="2" t="inlineStr">
        <is>
          <t>포장 단위 조건 확인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안내: 단가 단위가 표준 단위와 다르면(예: m ↔ 본) 환산 근거 없이는 '비교 불가'로 둔다. 배송비·규격 미기재도 비교 불가. 최저가는 사람이 조건을 확정한 뒤에만 본다.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</sheetData>
  <dataValidations count="1">
    <dataValidation sqref="K2 K3 K4 K5 K6 K7" showDropDown="0" showInputMessage="0" showErrorMessage="0" allowBlank="1" type="list">
      <formula1>"예,아니오,확인 필요"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8" customWidth="1" min="4" max="4"/>
    <col width="9" customWidth="1" min="5" max="5"/>
    <col width="6" customWidth="1" min="6" max="6"/>
    <col width="14" customWidth="1" min="7" max="7"/>
    <col width="14" customWidth="1" min="8" max="8"/>
    <col width="14" customWidth="1" min="9" max="9"/>
    <col width="12" customWidth="1" min="10" max="10"/>
    <col width="8" customWidth="1" min="11" max="11"/>
    <col width="11" customWidth="1" min="12" max="12"/>
    <col width="8" customWidth="1" min="13" max="13"/>
    <col width="12" customWidth="1" min="14" max="14"/>
    <col width="30" customWidth="1" min="15" max="15"/>
    <col width="18" customWidth="1" min="16" max="16"/>
    <col width="40" customWidth="1" min="17" max="17"/>
  </cols>
  <sheetData>
    <row r="1">
      <c r="A1" s="4" t="inlineStr">
        <is>
          <t>발주번호</t>
        </is>
      </c>
      <c r="B1" s="4" t="inlineStr">
        <is>
          <t>품목ID</t>
        </is>
      </c>
      <c r="C1" s="4" t="inlineStr">
        <is>
          <t>품명</t>
        </is>
      </c>
      <c r="D1" s="4" t="inlineStr">
        <is>
          <t>현장</t>
        </is>
      </c>
      <c r="E1" s="4" t="inlineStr">
        <is>
          <t>발주수량</t>
        </is>
      </c>
      <c r="F1" s="4" t="inlineStr">
        <is>
          <t>단위</t>
        </is>
      </c>
      <c r="G1" s="4" t="inlineStr">
        <is>
          <t>입고1(일자/수량)</t>
        </is>
      </c>
      <c r="H1" s="4" t="inlineStr">
        <is>
          <t>입고2</t>
        </is>
      </c>
      <c r="I1" s="4" t="inlineStr">
        <is>
          <t>입고3</t>
        </is>
      </c>
      <c r="J1" s="4" t="inlineStr">
        <is>
          <t>입고 누계(사람 기입)</t>
        </is>
      </c>
      <c r="K1" s="4" t="inlineStr">
        <is>
          <t>잔량</t>
        </is>
      </c>
      <c r="L1" s="4" t="inlineStr">
        <is>
          <t>갱신일</t>
        </is>
      </c>
      <c r="M1" s="4" t="inlineStr">
        <is>
          <t>갱신자</t>
        </is>
      </c>
      <c r="N1" s="4" t="inlineStr">
        <is>
          <t>갱신 상태</t>
        </is>
      </c>
      <c r="O1" s="4" t="inlineStr">
        <is>
          <t>확인 필요 사항</t>
        </is>
      </c>
      <c r="P1" s="4" t="inlineStr">
        <is>
          <t>사람 확정</t>
        </is>
      </c>
      <c r="Q1" s="4" t="inlineStr">
        <is>
          <t>비고(교육용 함정 설명)</t>
        </is>
      </c>
    </row>
    <row r="2">
      <c r="A2" s="2" t="inlineStr">
        <is>
          <t>PO-2609-001</t>
        </is>
      </c>
      <c r="B2" s="2" t="inlineStr">
        <is>
          <t>P-03</t>
        </is>
      </c>
      <c r="C2" s="2" t="inlineStr">
        <is>
          <t>PVC 파이프 50A</t>
        </is>
      </c>
      <c r="D2" s="2" t="inlineStr">
        <is>
          <t>A현장</t>
        </is>
      </c>
      <c r="E2" s="2" t="inlineStr">
        <is>
          <t>40</t>
        </is>
      </c>
      <c r="F2" s="2" t="inlineStr">
        <is>
          <t>본</t>
        </is>
      </c>
      <c r="G2" s="2" t="inlineStr">
        <is>
          <t>09-10 / 20</t>
        </is>
      </c>
      <c r="H2" s="2" t="inlineStr">
        <is>
          <t>09-14 / 20</t>
        </is>
      </c>
      <c r="I2" s="2" t="inlineStr"/>
      <c r="J2" s="5" t="inlineStr"/>
      <c r="K2" s="2">
        <f>IF(J2="","",E2-J2)</f>
        <v/>
      </c>
      <c r="L2" s="2" t="inlineStr">
        <is>
          <t>2026-09-14</t>
        </is>
      </c>
      <c r="M2" s="2" t="inlineStr">
        <is>
          <t>박지원</t>
        </is>
      </c>
      <c r="N2" s="2">
        <f>IF(L2="","갱신 누락",IF(M2="","갱신자 없음","기록 있음"))</f>
        <v/>
      </c>
      <c r="O2" s="2" t="inlineStr"/>
      <c r="P2" s="5" t="inlineStr"/>
      <c r="Q2" s="2" t="inlineStr">
        <is>
          <t>완납</t>
        </is>
      </c>
    </row>
    <row r="3">
      <c r="A3" s="2" t="inlineStr">
        <is>
          <t>PO-2609-002</t>
        </is>
      </c>
      <c r="B3" s="2" t="inlineStr">
        <is>
          <t>P-01</t>
        </is>
      </c>
      <c r="C3" s="2" t="inlineStr">
        <is>
          <t>볼밸브 50A</t>
        </is>
      </c>
      <c r="D3" s="2" t="inlineStr">
        <is>
          <t>A현장</t>
        </is>
      </c>
      <c r="E3" s="2" t="inlineStr">
        <is>
          <t>20</t>
        </is>
      </c>
      <c r="F3" s="2" t="inlineStr">
        <is>
          <t>개</t>
        </is>
      </c>
      <c r="G3" s="2" t="inlineStr">
        <is>
          <t>09-12 / 10</t>
        </is>
      </c>
      <c r="H3" s="2" t="inlineStr"/>
      <c r="I3" s="2" t="inlineStr"/>
      <c r="J3" s="5" t="inlineStr"/>
      <c r="K3" s="2">
        <f>IF(J3="","",E3-J3)</f>
        <v/>
      </c>
      <c r="L3" s="2" t="inlineStr">
        <is>
          <t>2026-09-12</t>
        </is>
      </c>
      <c r="M3" s="2" t="inlineStr">
        <is>
          <t>박지원</t>
        </is>
      </c>
      <c r="N3" s="2">
        <f>IF(L3="","갱신 누락",IF(M3="","갱신자 없음","기록 있음"))</f>
        <v/>
      </c>
      <c r="O3" s="2" t="inlineStr"/>
      <c r="P3" s="5" t="inlineStr"/>
      <c r="Q3" s="2" t="inlineStr">
        <is>
          <t>잔량 10 — 2차 입고 예정일 미기재</t>
        </is>
      </c>
    </row>
    <row r="4">
      <c r="A4" s="2" t="inlineStr">
        <is>
          <t>PO-2609-003</t>
        </is>
      </c>
      <c r="B4" s="2" t="inlineStr">
        <is>
          <t>P-09</t>
        </is>
      </c>
      <c r="C4" s="2" t="inlineStr">
        <is>
          <t>배관 보온재 50A</t>
        </is>
      </c>
      <c r="D4" s="2" t="inlineStr">
        <is>
          <t>B현장</t>
        </is>
      </c>
      <c r="E4" s="2" t="inlineStr">
        <is>
          <t>120</t>
        </is>
      </c>
      <c r="F4" s="2" t="inlineStr">
        <is>
          <t>m</t>
        </is>
      </c>
      <c r="G4" s="2" t="inlineStr">
        <is>
          <t>09-11 / 60</t>
        </is>
      </c>
      <c r="H4" s="2" t="inlineStr">
        <is>
          <t>09-15 / 60</t>
        </is>
      </c>
      <c r="I4" s="2" t="inlineStr"/>
      <c r="J4" s="5" t="inlineStr"/>
      <c r="K4" s="2">
        <f>IF(J4="","",E4-J4)</f>
        <v/>
      </c>
      <c r="L4" s="2" t="inlineStr">
        <is>
          <t>2026-09-11</t>
        </is>
      </c>
      <c r="M4" s="2" t="inlineStr">
        <is>
          <t>정설비</t>
        </is>
      </c>
      <c r="N4" s="2">
        <f>IF(L4="","갱신 누락",IF(M4="","갱신자 없음","기록 있음"))</f>
        <v/>
      </c>
      <c r="O4" s="2" t="inlineStr"/>
      <c r="P4" s="5" t="inlineStr"/>
      <c r="Q4" s="2" t="inlineStr">
        <is>
          <t>2차 입고 후 갱신 안 됨(갱신일이 1차 시점) → 미갱신</t>
        </is>
      </c>
    </row>
    <row r="5">
      <c r="A5" s="2" t="inlineStr">
        <is>
          <t>PO-2609-004</t>
        </is>
      </c>
      <c r="B5" s="2" t="inlineStr">
        <is>
          <t>P-10</t>
        </is>
      </c>
      <c r="C5" s="2" t="inlineStr">
        <is>
          <t>테프론 테이프 12mm</t>
        </is>
      </c>
      <c r="D5" s="2" t="inlineStr">
        <is>
          <t>C현장</t>
        </is>
      </c>
      <c r="E5" s="2" t="inlineStr">
        <is>
          <t>10</t>
        </is>
      </c>
      <c r="F5" s="2" t="inlineStr">
        <is>
          <t>롤</t>
        </is>
      </c>
      <c r="G5" s="2" t="inlineStr"/>
      <c r="H5" s="2" t="inlineStr"/>
      <c r="I5" s="2" t="inlineStr"/>
      <c r="J5" s="5" t="inlineStr"/>
      <c r="K5" s="2">
        <f>IF(J5="","",E5-J5)</f>
        <v/>
      </c>
      <c r="L5" s="2" t="inlineStr">
        <is>
          <t>2026-09-05</t>
        </is>
      </c>
      <c r="M5" s="2" t="inlineStr">
        <is>
          <t>한구매</t>
        </is>
      </c>
      <c r="N5" s="2">
        <f>IF(L5="","갱신 누락",IF(M5="","갱신자 없음","기록 있음"))</f>
        <v/>
      </c>
      <c r="O5" s="2" t="inlineStr"/>
      <c r="P5" s="5" t="inlineStr"/>
      <c r="Q5" s="2" t="inlineStr">
        <is>
          <t>발주 12일 경과, 입고 기록 없음 → 확인</t>
        </is>
      </c>
    </row>
    <row r="6">
      <c r="A6" s="2" t="inlineStr">
        <is>
          <t>PO-2609-005</t>
        </is>
      </c>
      <c r="B6" s="2" t="inlineStr">
        <is>
          <t>P-05</t>
        </is>
      </c>
      <c r="C6" s="2" t="inlineStr">
        <is>
          <t>강관 50A</t>
        </is>
      </c>
      <c r="D6" s="2" t="inlineStr">
        <is>
          <t>B현장</t>
        </is>
      </c>
      <c r="E6" s="2" t="inlineStr">
        <is>
          <t>30</t>
        </is>
      </c>
      <c r="F6" s="2" t="inlineStr">
        <is>
          <t>본</t>
        </is>
      </c>
      <c r="G6" s="2" t="inlineStr">
        <is>
          <t>09-13 / 30</t>
        </is>
      </c>
      <c r="H6" s="2" t="inlineStr"/>
      <c r="I6" s="2" t="inlineStr"/>
      <c r="J6" s="5" t="inlineStr"/>
      <c r="K6" s="2">
        <f>IF(J6="","",E6-J6)</f>
        <v/>
      </c>
      <c r="L6" s="2" t="inlineStr"/>
      <c r="M6" s="2" t="inlineStr"/>
      <c r="N6" s="2">
        <f>IF(L6="","갱신 누락",IF(M6="","갱신자 없음","기록 있음"))</f>
        <v/>
      </c>
      <c r="O6" s="2" t="inlineStr"/>
      <c r="P6" s="5" t="inlineStr"/>
      <c r="Q6" s="2" t="inlineStr">
        <is>
          <t>입고는 있으나 갱신일·갱신자 공란 → 책임자 확인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안내: 입고 누계는 입고 칸을 보고 사람이 적는다(자동 합산하지 않는 이유: 분할 입고 표기가 제각각이라 원문 확인이 먼저). 공동 화면 효과(전화·메신저 확인 감소)를 먼저 기록하고, AI 추가 효과는 분리해 확인한다(기획안 §3-2 게이트).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50" customWidth="1" min="5" max="5"/>
    <col width="50" customWidth="1" min="6" max="6"/>
    <col width="8" customWidth="1" min="7" max="7"/>
  </cols>
  <sheetData>
    <row r="1">
      <c r="A1" s="4" t="inlineStr">
        <is>
          <t>자재군</t>
        </is>
      </c>
      <c r="B1" s="4" t="inlineStr">
        <is>
          <t>항목ID</t>
        </is>
      </c>
      <c r="C1" s="4" t="inlineStr">
        <is>
          <t>항목명</t>
        </is>
      </c>
      <c r="D1" s="4" t="inlineStr">
        <is>
          <t>구분</t>
        </is>
      </c>
      <c r="E1" s="4" t="inlineStr">
        <is>
          <t>충족조건</t>
        </is>
      </c>
      <c r="F1" s="4" t="inlineStr">
        <is>
          <t>모호조건</t>
        </is>
      </c>
      <c r="G1" s="4" t="inlineStr">
        <is>
          <t>중요항목</t>
        </is>
      </c>
    </row>
    <row r="2">
      <c r="A2" s="2" t="inlineStr">
        <is>
          <t>배관</t>
        </is>
      </c>
      <c r="B2" s="2" t="inlineStr">
        <is>
          <t>item_id</t>
        </is>
      </c>
      <c r="C2" s="2" t="inlineStr">
        <is>
          <t>품목 ID</t>
        </is>
      </c>
      <c r="D2" s="2" t="inlineStr">
        <is>
          <t>공통</t>
        </is>
      </c>
      <c r="E2" s="2" t="inlineStr">
        <is>
          <t>P-NN 형식의 품목 ID가 원문에 있고 사전에 존재</t>
        </is>
      </c>
      <c r="F2" s="2" t="inlineStr">
        <is>
          <t>별칭·표준명만 있음(표준명 후보로 제안), 후보가 2개 이상, 판독 불가 글자</t>
        </is>
      </c>
      <c r="G2" s="2" t="inlineStr">
        <is>
          <t>Y</t>
        </is>
      </c>
    </row>
    <row r="3">
      <c r="A3" s="2" t="inlineStr">
        <is>
          <t>배관</t>
        </is>
      </c>
      <c r="B3" s="2" t="inlineStr">
        <is>
          <t>qty</t>
        </is>
      </c>
      <c r="C3" s="2" t="inlineStr">
        <is>
          <t>수량</t>
        </is>
      </c>
      <c r="D3" s="2" t="inlineStr">
        <is>
          <t>공통</t>
        </is>
      </c>
      <c r="E3" s="2" t="inlineStr">
        <is>
          <t>양의 정수</t>
        </is>
      </c>
      <c r="F3" s="2" t="inlineStr">
        <is>
          <t>판독 불가 글자(예: 2O)</t>
        </is>
      </c>
      <c r="G3" s="2" t="inlineStr">
        <is>
          <t>Y</t>
        </is>
      </c>
    </row>
    <row r="4">
      <c r="A4" s="2" t="inlineStr">
        <is>
          <t>배관</t>
        </is>
      </c>
      <c r="B4" s="2" t="inlineStr">
        <is>
          <t>unit</t>
        </is>
      </c>
      <c r="C4" s="2" t="inlineStr">
        <is>
          <t>단위</t>
        </is>
      </c>
      <c r="D4" s="2" t="inlineStr">
        <is>
          <t>공통</t>
        </is>
      </c>
      <c r="E4" s="2" t="inlineStr">
        <is>
          <t>사전의 표준 단위와 같음(EA=개, M=m 동의어 허용)</t>
        </is>
      </c>
      <c r="F4" s="2" t="inlineStr">
        <is>
          <t>품목이 확정되지 않아 비교 불가, 판독 불가</t>
        </is>
      </c>
      <c r="G4" s="2" t="inlineStr">
        <is>
          <t>Y</t>
        </is>
      </c>
    </row>
    <row r="5">
      <c r="A5" s="2" t="inlineStr">
        <is>
          <t>배관</t>
        </is>
      </c>
      <c r="B5" s="2" t="inlineStr">
        <is>
          <t>need_date</t>
        </is>
      </c>
      <c r="C5" s="2" t="inlineStr">
        <is>
          <t>희망일</t>
        </is>
      </c>
      <c r="D5" s="2" t="inlineStr">
        <is>
          <t>공통</t>
        </is>
      </c>
      <c r="E5" s="2" t="inlineStr">
        <is>
          <t>특정 날짜(YYYY-MM-DD, M월 D일, M/D)</t>
        </is>
      </c>
      <c r="F5" s="2" t="inlineStr">
        <is>
          <t>'다음 주', 'ASAP', '빨리', '이번 달 안' 등 기간·정도 표현. 날짜로 단정하지 않음</t>
        </is>
      </c>
      <c r="G5" s="2" t="inlineStr">
        <is>
          <t>Y</t>
        </is>
      </c>
    </row>
    <row r="6">
      <c r="A6" s="2" t="inlineStr">
        <is>
          <t>배관</t>
        </is>
      </c>
      <c r="B6" s="2" t="inlineStr">
        <is>
          <t>delivery_location</t>
        </is>
      </c>
      <c r="C6" s="2" t="inlineStr">
        <is>
          <t>배송 위치</t>
        </is>
      </c>
      <c r="D6" s="2" t="inlineStr">
        <is>
          <t>공통</t>
        </is>
      </c>
      <c r="E6" s="2" t="inlineStr">
        <is>
          <t>현장명 + 세부 위치(동·층·창고·게이트 등)</t>
        </is>
      </c>
      <c r="F6" s="2" t="inlineStr">
        <is>
          <t>현장명만 있음</t>
        </is>
      </c>
      <c r="G6" s="2" t="inlineStr">
        <is>
          <t>N</t>
        </is>
      </c>
    </row>
    <row r="7">
      <c r="A7" s="2" t="inlineStr">
        <is>
          <t>배관</t>
        </is>
      </c>
      <c r="B7" s="2" t="inlineStr">
        <is>
          <t>spec</t>
        </is>
      </c>
      <c r="C7" s="2" t="inlineStr">
        <is>
          <t>규격</t>
        </is>
      </c>
      <c r="D7" s="2" t="inlineStr">
        <is>
          <t>자재군추가</t>
        </is>
      </c>
      <c r="E7" s="2" t="inlineStr">
        <is>
          <t>규격 토큰(50A, 100A, 12mm 등)이 있거나, 품목 ID가 확정되어 사전 규격을 적용할 수 있음</t>
        </is>
      </c>
      <c r="F7" s="2" t="inlineStr">
        <is>
          <t>판독 불가. 품목 ID 없이 별칭만 있고 규격도 없으면 누락</t>
        </is>
      </c>
      <c r="G7" s="2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44" customWidth="1" min="5" max="5"/>
    <col width="50" customWidth="1" min="6" max="6"/>
  </cols>
  <sheetData>
    <row r="1">
      <c r="A1" s="4" t="inlineStr">
        <is>
          <t>품목ID</t>
        </is>
      </c>
      <c r="B1" s="4" t="inlineStr">
        <is>
          <t>표준명</t>
        </is>
      </c>
      <c r="C1" s="4" t="inlineStr">
        <is>
          <t>규격</t>
        </is>
      </c>
      <c r="D1" s="4" t="inlineStr">
        <is>
          <t>표준단위</t>
        </is>
      </c>
      <c r="E1" s="4" t="inlineStr">
        <is>
          <t>별칭</t>
        </is>
      </c>
      <c r="F1" s="4" t="inlineStr">
        <is>
          <t>주의</t>
        </is>
      </c>
    </row>
    <row r="2">
      <c r="A2" s="2" t="inlineStr">
        <is>
          <t>P-01</t>
        </is>
      </c>
      <c r="B2" s="2" t="inlineStr">
        <is>
          <t>볼밸브</t>
        </is>
      </c>
      <c r="C2" s="2" t="inlineStr">
        <is>
          <t>50A</t>
        </is>
      </c>
      <c r="D2" s="2" t="inlineStr">
        <is>
          <t>개</t>
        </is>
      </c>
      <c r="E2" s="2" t="inlineStr">
        <is>
          <t>볼밸브; 볼발브; 밸브; ball valve</t>
        </is>
      </c>
      <c r="F2" s="2" t="inlineStr">
        <is>
          <t>P-02(100A)와 별칭이 같음 → 규격 없으면 병합 금지</t>
        </is>
      </c>
    </row>
    <row r="3">
      <c r="A3" s="2" t="inlineStr">
        <is>
          <t>P-02</t>
        </is>
      </c>
      <c r="B3" s="2" t="inlineStr">
        <is>
          <t>볼밸브</t>
        </is>
      </c>
      <c r="C3" s="2" t="inlineStr">
        <is>
          <t>100A</t>
        </is>
      </c>
      <c r="D3" s="2" t="inlineStr">
        <is>
          <t>개</t>
        </is>
      </c>
      <c r="E3" s="2" t="inlineStr">
        <is>
          <t>볼밸브; 볼발브; 밸브; ball valve</t>
        </is>
      </c>
      <c r="F3" s="2" t="inlineStr">
        <is>
          <t>P-01(50A)와 별칭이 같음 → 규격 없으면 병합 금지</t>
        </is>
      </c>
    </row>
    <row r="4">
      <c r="A4" s="2" t="inlineStr">
        <is>
          <t>P-03</t>
        </is>
      </c>
      <c r="B4" s="2" t="inlineStr">
        <is>
          <t>PVC 파이프</t>
        </is>
      </c>
      <c r="C4" s="2" t="inlineStr">
        <is>
          <t>50A</t>
        </is>
      </c>
      <c r="D4" s="2" t="inlineStr">
        <is>
          <t>본</t>
        </is>
      </c>
      <c r="E4" s="2" t="inlineStr">
        <is>
          <t>PVC 파이프; PVC관; PVC파이프; 피브이씨 파이프; pvc pipe</t>
        </is>
      </c>
      <c r="F4" s="2" t="inlineStr">
        <is>
          <t>P-04(100A)와 별칭이 같음 → 규격 없으면 병합 금지</t>
        </is>
      </c>
    </row>
    <row r="5">
      <c r="A5" s="2" t="inlineStr">
        <is>
          <t>P-04</t>
        </is>
      </c>
      <c r="B5" s="2" t="inlineStr">
        <is>
          <t>PVC 파이프</t>
        </is>
      </c>
      <c r="C5" s="2" t="inlineStr">
        <is>
          <t>100A</t>
        </is>
      </c>
      <c r="D5" s="2" t="inlineStr">
        <is>
          <t>본</t>
        </is>
      </c>
      <c r="E5" s="2" t="inlineStr">
        <is>
          <t>PVC 파이프; PVC관; PVC파이프; 피브이씨 파이프; pvc pipe</t>
        </is>
      </c>
      <c r="F5" s="2" t="inlineStr">
        <is>
          <t>P-03(50A)와 별칭이 같음 → 규격 없으면 병합 금지</t>
        </is>
      </c>
    </row>
    <row r="6">
      <c r="A6" s="2" t="inlineStr">
        <is>
          <t>P-05</t>
        </is>
      </c>
      <c r="B6" s="2" t="inlineStr">
        <is>
          <t>강관</t>
        </is>
      </c>
      <c r="C6" s="2" t="inlineStr">
        <is>
          <t>50A</t>
        </is>
      </c>
      <c r="D6" s="2" t="inlineStr">
        <is>
          <t>본</t>
        </is>
      </c>
      <c r="E6" s="2" t="inlineStr">
        <is>
          <t>강관; 백관; 스틸파이프; steel pipe</t>
        </is>
      </c>
      <c r="F6" s="2" t="inlineStr">
        <is>
          <t>P-06(100A)와 별칭이 같음</t>
        </is>
      </c>
    </row>
    <row r="7">
      <c r="A7" s="2" t="inlineStr">
        <is>
          <t>P-06</t>
        </is>
      </c>
      <c r="B7" s="2" t="inlineStr">
        <is>
          <t>강관</t>
        </is>
      </c>
      <c r="C7" s="2" t="inlineStr">
        <is>
          <t>100A</t>
        </is>
      </c>
      <c r="D7" s="2" t="inlineStr">
        <is>
          <t>본</t>
        </is>
      </c>
      <c r="E7" s="2" t="inlineStr">
        <is>
          <t>강관; 백관; 스틸파이프; steel pipe</t>
        </is>
      </c>
      <c r="F7" s="2" t="inlineStr">
        <is>
          <t>P-05(50A)와 별칭이 같음</t>
        </is>
      </c>
    </row>
    <row r="8">
      <c r="A8" s="2" t="inlineStr">
        <is>
          <t>P-07</t>
        </is>
      </c>
      <c r="B8" s="2" t="inlineStr">
        <is>
          <t>PVC 엘보 90도</t>
        </is>
      </c>
      <c r="C8" s="2" t="inlineStr">
        <is>
          <t>50A</t>
        </is>
      </c>
      <c r="D8" s="2" t="inlineStr">
        <is>
          <t>개</t>
        </is>
      </c>
      <c r="E8" s="2" t="inlineStr">
        <is>
          <t>엘보; 엘보우; 90도 엘보; elbow</t>
        </is>
      </c>
      <c r="F8" s="2" t="inlineStr">
        <is>
          <t>P-08(45도)과 '엘보' 별칭 공유 → 각도 확인</t>
        </is>
      </c>
    </row>
    <row r="9">
      <c r="A9" s="2" t="inlineStr">
        <is>
          <t>P-08</t>
        </is>
      </c>
      <c r="B9" s="2" t="inlineStr">
        <is>
          <t>PVC 엘보 45도</t>
        </is>
      </c>
      <c r="C9" s="2" t="inlineStr">
        <is>
          <t>50A</t>
        </is>
      </c>
      <c r="D9" s="2" t="inlineStr">
        <is>
          <t>개</t>
        </is>
      </c>
      <c r="E9" s="2" t="inlineStr">
        <is>
          <t>엘보; 엘보우; 45도 엘보; 45엘보</t>
        </is>
      </c>
      <c r="F9" s="2" t="inlineStr">
        <is>
          <t>P-07(90도)과 '엘보' 별칭 공유 → 각도 확인</t>
        </is>
      </c>
    </row>
    <row r="10">
      <c r="A10" s="2" t="inlineStr">
        <is>
          <t>P-09</t>
        </is>
      </c>
      <c r="B10" s="2" t="inlineStr">
        <is>
          <t>배관 보온재</t>
        </is>
      </c>
      <c r="C10" s="2" t="inlineStr">
        <is>
          <t>50A</t>
        </is>
      </c>
      <c r="D10" s="2" t="inlineStr">
        <is>
          <t>m</t>
        </is>
      </c>
      <c r="E10" s="2" t="inlineStr">
        <is>
          <t>보온재; 단열재; 인슐레이션</t>
        </is>
      </c>
      <c r="F10" s="2" t="inlineStr">
        <is>
          <t>길이 단위(m). 개수로 요청 오면 불일치</t>
        </is>
      </c>
    </row>
    <row r="11">
      <c r="A11" s="2" t="inlineStr">
        <is>
          <t>P-10</t>
        </is>
      </c>
      <c r="B11" s="2" t="inlineStr">
        <is>
          <t>테프론 테이프</t>
        </is>
      </c>
      <c r="C11" s="2" t="inlineStr">
        <is>
          <t>12mm</t>
        </is>
      </c>
      <c r="D11" s="2" t="inlineStr">
        <is>
          <t>롤</t>
        </is>
      </c>
      <c r="E11" s="2" t="inlineStr">
        <is>
          <t>테프론; 테플론 테이프; 씰테이프; 테프론 테이프</t>
        </is>
      </c>
      <c r="F11" s="2" t="inlineStr">
        <is>
          <t>롤 단위. 개수로 요청 오면 불일치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44" customWidth="1" min="4" max="4"/>
    <col width="80" customWidth="1" min="5" max="5"/>
  </cols>
  <sheetData>
    <row r="1">
      <c r="A1" s="4" t="inlineStr">
        <is>
          <t>문서ID</t>
        </is>
      </c>
      <c r="B1" s="4" t="inlineStr">
        <is>
          <t>유형</t>
        </is>
      </c>
      <c r="C1" s="4" t="inlineStr">
        <is>
          <t>버전</t>
        </is>
      </c>
      <c r="D1" s="4" t="inlineStr">
        <is>
          <t>파일</t>
        </is>
      </c>
      <c r="E1" s="4" t="inlineStr">
        <is>
          <t>원문</t>
        </is>
      </c>
    </row>
    <row r="2">
      <c r="A2" s="2" t="inlineStr">
        <is>
          <t>D04-01</t>
        </is>
      </c>
      <c r="B2" s="2" t="inlineStr">
        <is>
          <t>정상</t>
        </is>
      </c>
      <c r="C2" s="2" t="inlineStr">
        <is>
          <t>clean</t>
        </is>
      </c>
      <c r="D2" s="2" t="inlineStr">
        <is>
          <t>requests/D04_가상구매요청서_01.txt</t>
        </is>
      </c>
      <c r="E2" s="2" t="inlineStr">
        <is>
          <t xml:space="preserve">[구매 요청서] A현장 현장지원팀 / 요청자 김현장
품목: P-01 50A
수량: 20 개
희망 납기: 2026-09-25
배송지: A현장 3동 지하1층 자재창고
비고: 현장 소장 확인 완료
</t>
        </is>
      </c>
    </row>
    <row r="3">
      <c r="A3" s="2" t="inlineStr">
        <is>
          <t>D04-01S</t>
        </is>
      </c>
      <c r="B3" s="2" t="inlineStr">
        <is>
          <t>정상</t>
        </is>
      </c>
      <c r="C3" s="2" t="inlineStr">
        <is>
          <t>scan</t>
        </is>
      </c>
      <c r="D3" s="2" t="inlineStr">
        <is>
          <t>requests_scan/D04_가상구매요청서_01_scan.txt</t>
        </is>
      </c>
      <c r="E3" s="2" t="inlineStr">
        <is>
          <t xml:space="preserve">[구매 요청서] A현장현장지원팀 / 요청자김현장
품목:P-01 50A
수량:2O 개
희망 납기:2026-09-25
배송지:A현장 3동 지하1층 자재창고
비고:현장 소장 확인완료
</t>
        </is>
      </c>
    </row>
    <row r="4">
      <c r="A4" s="2" t="inlineStr">
        <is>
          <t>D04-02</t>
        </is>
      </c>
      <c r="B4" s="2" t="inlineStr">
        <is>
          <t>정상</t>
        </is>
      </c>
      <c r="C4" s="2" t="inlineStr">
        <is>
          <t>clean</t>
        </is>
      </c>
      <c r="D4" s="2" t="inlineStr">
        <is>
          <t>requests/D04_가상구매요청서_02.txt</t>
        </is>
      </c>
      <c r="E4" s="2" t="inlineStr">
        <is>
          <t xml:space="preserve">박지원: 안녕하세요, B현장 자재 요청드립니다.
박지원: P-03 50A 40본 필요합니다.
박지원: 납기는 9월 26일 희망하고, 배송은 B현장 1동 1층 야적장로 부탁드려요.
박지원: 기존 발주분과 별도 건입니다
</t>
        </is>
      </c>
    </row>
    <row r="5">
      <c r="A5" s="2" t="inlineStr">
        <is>
          <t>D04-02S</t>
        </is>
      </c>
      <c r="B5" s="2" t="inlineStr">
        <is>
          <t>정상</t>
        </is>
      </c>
      <c r="C5" s="2" t="inlineStr">
        <is>
          <t>scan</t>
        </is>
      </c>
      <c r="D5" s="2" t="inlineStr">
        <is>
          <t>requests_scan/D04_가상구매요청서_02_scan.txt</t>
        </is>
      </c>
      <c r="E5" s="2" t="inlineStr">
        <is>
          <t xml:space="preserve">박지원:안녕하세요,B현장 자재 요청드립니다.
박지원:P-03 50A 4O본 필요합니다.
박지원:납기는 9월 26일 희망하고,배송은 B현장 1동 1층 야적장로 부탁드려요.
박지원:기존 발주분과 별도건입니다
</t>
        </is>
      </c>
    </row>
    <row r="6">
      <c r="A6" s="2" t="inlineStr">
        <is>
          <t>D04-03</t>
        </is>
      </c>
      <c r="B6" s="2" t="inlineStr">
        <is>
          <t>정상</t>
        </is>
      </c>
      <c r="C6" s="2" t="inlineStr">
        <is>
          <t>clean</t>
        </is>
      </c>
      <c r="D6" s="2" t="inlineStr">
        <is>
          <t>requests/D04_가상구매요청서_03.txt</t>
        </is>
      </c>
      <c r="E6" s="2" t="inlineStr">
        <is>
          <t xml:space="preserve">제목: 자재 구매 요청
구매팀 담당자님, 이자재입니다.
아래 자재 구매를 요청합니다.
- 품명/규격: P-09 / 50A
- 수량: 120m
- 희망 납기: 9/28
- 납품 장소: C현장 정문 게이트 하치장
우천 시 실내 보관 요청
</t>
        </is>
      </c>
    </row>
    <row r="7">
      <c r="A7" s="2" t="inlineStr">
        <is>
          <t>D04-03S</t>
        </is>
      </c>
      <c r="B7" s="2" t="inlineStr">
        <is>
          <t>정상</t>
        </is>
      </c>
      <c r="C7" s="2" t="inlineStr">
        <is>
          <t>scan</t>
        </is>
      </c>
      <c r="D7" s="2" t="inlineStr">
        <is>
          <t>requests_scan/D04_가상구매요청서_03_scan.txt</t>
        </is>
      </c>
      <c r="E7" s="2" t="inlineStr">
        <is>
          <t xml:space="preserve">제목:자재 구매 요청
구매팀담당자님,이자재입니다.
아래 자재 구매를요청합니다.
- 품명/규격:P-09 / SOA
- 수량:120m
- 희망 납기:9/28
- 납품 장소:C현장 정문 게이트 하치장
우천 시 실내보관 요청
</t>
        </is>
      </c>
    </row>
    <row r="8">
      <c r="A8" s="2" t="inlineStr">
        <is>
          <t>D04-04</t>
        </is>
      </c>
      <c r="B8" s="2" t="inlineStr">
        <is>
          <t>정상</t>
        </is>
      </c>
      <c r="C8" s="2" t="inlineStr">
        <is>
          <t>clean</t>
        </is>
      </c>
      <c r="D8" s="2" t="inlineStr">
        <is>
          <t>requests/D04_가상구매요청서_04.txt</t>
        </is>
      </c>
      <c r="E8" s="2" t="inlineStr">
        <is>
          <t xml:space="preserve">[구매 요청서] A현장 현장지원팀 / 요청자 최공무
품목: P-07 50A
수량: 15 EA
희망 납기: 2026-09-30
배송지: A현장 2동 옥상 기계실
비고: 기계실 배관 교체용
</t>
        </is>
      </c>
    </row>
    <row r="9">
      <c r="A9" s="2" t="inlineStr">
        <is>
          <t>D04-04S</t>
        </is>
      </c>
      <c r="B9" s="2" t="inlineStr">
        <is>
          <t>정상</t>
        </is>
      </c>
      <c r="C9" s="2" t="inlineStr">
        <is>
          <t>scan</t>
        </is>
      </c>
      <c r="D9" s="2" t="inlineStr">
        <is>
          <t>requests_scan/D04_가상구매요청서_04_scan.txt</t>
        </is>
      </c>
      <c r="E9" s="2" t="inlineStr">
        <is>
          <t xml:space="preserve">[구매 요청서] A현장현장지원팀 / 요청자최공무
품목:P-O7 50A
수량:15 EA
희망 납기:2026-09-30
배송지:A현장 2동 옥상 기계실
비고:기계실 배관 교체용
</t>
        </is>
      </c>
    </row>
    <row r="10">
      <c r="A10" s="2" t="inlineStr">
        <is>
          <t>D04-05</t>
        </is>
      </c>
      <c r="B10" s="2" t="inlineStr">
        <is>
          <t>정상</t>
        </is>
      </c>
      <c r="C10" s="2" t="inlineStr">
        <is>
          <t>clean</t>
        </is>
      </c>
      <c r="D10" s="2" t="inlineStr">
        <is>
          <t>requests/D04_가상구매요청서_05.txt</t>
        </is>
      </c>
      <c r="E10" s="2" t="inlineStr">
        <is>
          <t xml:space="preserve">B현장 정설비 메모
P-10 10롤
2026-09-24
→ B현장 동측 게이트 자재창고
소모품
</t>
        </is>
      </c>
    </row>
    <row r="11">
      <c r="A11" s="2" t="inlineStr">
        <is>
          <t>D04-05S</t>
        </is>
      </c>
      <c r="B11" s="2" t="inlineStr">
        <is>
          <t>정상</t>
        </is>
      </c>
      <c r="C11" s="2" t="inlineStr">
        <is>
          <t>scan</t>
        </is>
      </c>
      <c r="D11" s="2" t="inlineStr">
        <is>
          <t>requests_scan/D04_가상구매요청서_05_scan.txt</t>
        </is>
      </c>
      <c r="E11" s="2" t="inlineStr">
        <is>
          <t xml:space="preserve">B현장 정설비 메모
P-10 lO롤
2026-09-24
→ B현장 동측 게이트 자재창고
소모품
</t>
        </is>
      </c>
    </row>
    <row r="12">
      <c r="A12" s="2" t="inlineStr">
        <is>
          <t>D04-06</t>
        </is>
      </c>
      <c r="B12" s="2" t="inlineStr">
        <is>
          <t>정상</t>
        </is>
      </c>
      <c r="C12" s="2" t="inlineStr">
        <is>
          <t>clean</t>
        </is>
      </c>
      <c r="D12" s="2" t="inlineStr">
        <is>
          <t>requests/D04_가상구매요청서_06.txt</t>
        </is>
      </c>
      <c r="E12" s="2" t="inlineStr">
        <is>
          <t xml:space="preserve">한구매: 안녕하세요, C현장 자재 요청드립니다.
한구매: P-05 50A 30본 필요합니다.
한구매: 납기는 10월 2일 희망하고, 배송은 C현장 1동 1층 야적장로 부탁드려요.
한구매: 야적장 입구에 내려 주세요
</t>
        </is>
      </c>
    </row>
    <row r="13">
      <c r="A13" s="2" t="inlineStr">
        <is>
          <t>D04-06S</t>
        </is>
      </c>
      <c r="B13" s="2" t="inlineStr">
        <is>
          <t>정상</t>
        </is>
      </c>
      <c r="C13" s="2" t="inlineStr">
        <is>
          <t>scan</t>
        </is>
      </c>
      <c r="D13" s="2" t="inlineStr">
        <is>
          <t>requests_scan/D04_가상구매요청서_06_scan.txt</t>
        </is>
      </c>
      <c r="E13" s="2" t="inlineStr">
        <is>
          <t xml:space="preserve">한구매:안녕하세요,C현장 자재 요청드립니다.
한구매:P-05 50A 3O본 필요합니다.
한구매:납기는 10월 2일 희망하고,배송은 C현장 1동 1층 야적장로 부탁드려요.
한구매:야적장 입구에 내려주세요
</t>
        </is>
      </c>
    </row>
    <row r="14">
      <c r="A14" s="2" t="inlineStr">
        <is>
          <t>D04-07</t>
        </is>
      </c>
      <c r="B14" s="2" t="inlineStr">
        <is>
          <t>필수누락</t>
        </is>
      </c>
      <c r="C14" s="2" t="inlineStr">
        <is>
          <t>clean</t>
        </is>
      </c>
      <c r="D14" s="2" t="inlineStr">
        <is>
          <t>requests/D04_가상구매요청서_07.txt</t>
        </is>
      </c>
      <c r="E14" s="2" t="inlineStr">
        <is>
          <t xml:space="preserve">[구매 요청서] A현장 현장지원팀 / 요청자 김현장
품목: P-02 100A
수량: 개
희망 납기: 2026-09-26
배송지: A현장 3동 지하1층 자재창고
비고: 수량은 확인 후 회신
</t>
        </is>
      </c>
    </row>
    <row r="15">
      <c r="A15" s="2" t="inlineStr">
        <is>
          <t>D04-07S</t>
        </is>
      </c>
      <c r="B15" s="2" t="inlineStr">
        <is>
          <t>필수누락</t>
        </is>
      </c>
      <c r="C15" s="2" t="inlineStr">
        <is>
          <t>scan</t>
        </is>
      </c>
      <c r="D15" s="2" t="inlineStr">
        <is>
          <t>requests_scan/D04_가상구매요청서_07_scan.txt</t>
        </is>
      </c>
      <c r="E15" s="2" t="inlineStr">
        <is>
          <t xml:space="preserve">[구매 요청서] A현장현장지원팀 / 요청자김현장
품목:P-02 lOOA
수량:개
희망 납기:2026-09-26
배송지:A현장 3동 지하1층 자재창고
비고:수량은 확인 후회신
</t>
        </is>
      </c>
    </row>
    <row r="16">
      <c r="A16" s="2" t="inlineStr">
        <is>
          <t>D04-08</t>
        </is>
      </c>
      <c r="B16" s="2" t="inlineStr">
        <is>
          <t>필수누락</t>
        </is>
      </c>
      <c r="C16" s="2" t="inlineStr">
        <is>
          <t>clean</t>
        </is>
      </c>
      <c r="D16" s="2" t="inlineStr">
        <is>
          <t>requests/D04_가상구매요청서_08.txt</t>
        </is>
      </c>
      <c r="E16" s="2" t="inlineStr">
        <is>
          <t xml:space="preserve">제목: 자재 구매 요청
구매팀 담당자님, 박지원입니다.
아래 자재 구매를 요청합니다.
- 품명/규격: 볼밸브
- 수량: 12개
- 희망 납기: 2026-09-29
- 납품 장소: B현장 1동 1층 야적장
기존 것과 같은 걸로
</t>
        </is>
      </c>
    </row>
    <row r="17">
      <c r="A17" s="2" t="inlineStr">
        <is>
          <t>D04-08S</t>
        </is>
      </c>
      <c r="B17" s="2" t="inlineStr">
        <is>
          <t>필수누락</t>
        </is>
      </c>
      <c r="C17" s="2" t="inlineStr">
        <is>
          <t>scan</t>
        </is>
      </c>
      <c r="D17" s="2" t="inlineStr">
        <is>
          <t>requests_scan/D04_가상구매요청서_08_scan.txt</t>
        </is>
      </c>
      <c r="E17" s="2" t="inlineStr">
        <is>
          <t xml:space="preserve">제목:자재 구매 요청
구매팀담당자님,박지원입니다.
아래 자재 구매를요청합니다.
- 품명/규격:볼밸브
- 수량:l2개
- 희망 납기:2026-09-29
- 납품 장소:B현장 1동 1층 야적장
기존 것과 같은걸로
</t>
        </is>
      </c>
    </row>
    <row r="18">
      <c r="A18" s="2" t="inlineStr">
        <is>
          <t>D04-09</t>
        </is>
      </c>
      <c r="B18" s="2" t="inlineStr">
        <is>
          <t>필수누락</t>
        </is>
      </c>
      <c r="C18" s="2" t="inlineStr">
        <is>
          <t>clean</t>
        </is>
      </c>
      <c r="D18" s="2" t="inlineStr">
        <is>
          <t>requests/D04_가상구매요청서_09.txt</t>
        </is>
      </c>
      <c r="E18" s="2" t="inlineStr">
        <is>
          <t xml:space="preserve">이자재: 안녕하세요, C현장 자재 요청드립니다.
이자재: P-04 100A 25 필요합니다.
이자재: 납기는 9월 30일 희망하고, 배송은 C현장 정문 게이트 하치장로 부탁드려요.
이자재: 하치장 진입 시 안전관리자 연락
</t>
        </is>
      </c>
    </row>
    <row r="19">
      <c r="A19" s="2" t="inlineStr">
        <is>
          <t>D04-09S</t>
        </is>
      </c>
      <c r="B19" s="2" t="inlineStr">
        <is>
          <t>필수누락</t>
        </is>
      </c>
      <c r="C19" s="2" t="inlineStr">
        <is>
          <t>scan</t>
        </is>
      </c>
      <c r="D19" s="2" t="inlineStr">
        <is>
          <t>requests_scan/D04_가상구매요청서_09_scan.txt</t>
        </is>
      </c>
      <c r="E19" s="2" t="inlineStr">
        <is>
          <t xml:space="preserve">이자재:안녕하세요,C현장 자재 요청드립니다.
이자재:P-04 100A 2S 필요합니다.
이자재:납기는 9월 30일 희망하고,배송은 C현장 정문 게이트 하치장로 부탁드려요.
이자재:하치장 진입 시안전관리자 연락
</t>
        </is>
      </c>
    </row>
    <row r="20">
      <c r="A20" s="2" t="inlineStr">
        <is>
          <t>D04-10</t>
        </is>
      </c>
      <c r="B20" s="2" t="inlineStr">
        <is>
          <t>필수누락</t>
        </is>
      </c>
      <c r="C20" s="2" t="inlineStr">
        <is>
          <t>clean</t>
        </is>
      </c>
      <c r="D20" s="2" t="inlineStr">
        <is>
          <t>requests/D04_가상구매요청서_10.txt</t>
        </is>
      </c>
      <c r="E20" s="2" t="inlineStr">
        <is>
          <t xml:space="preserve">A현장 최공무 메모
P-03 50A 40본
→ A현장 2동 옥상 기계실
기계실 반입
</t>
        </is>
      </c>
    </row>
    <row r="21">
      <c r="A21" s="2" t="inlineStr">
        <is>
          <t>D04-10S</t>
        </is>
      </c>
      <c r="B21" s="2" t="inlineStr">
        <is>
          <t>필수누락</t>
        </is>
      </c>
      <c r="C21" s="2" t="inlineStr">
        <is>
          <t>scan</t>
        </is>
      </c>
      <c r="D21" s="2" t="inlineStr">
        <is>
          <t>requests_scan/D04_가상구매요청서_10_scan.txt</t>
        </is>
      </c>
      <c r="E21" s="2" t="inlineStr">
        <is>
          <t xml:space="preserve">A현장 최공무 메모
P-03 SOA 40본
→ A현장 2동 옥상 기계실
기계실 반입
</t>
        </is>
      </c>
    </row>
    <row r="22">
      <c r="A22" s="2" t="inlineStr">
        <is>
          <t>D04-11</t>
        </is>
      </c>
      <c r="B22" s="2" t="inlineStr">
        <is>
          <t>필수누락</t>
        </is>
      </c>
      <c r="C22" s="2" t="inlineStr">
        <is>
          <t>clean</t>
        </is>
      </c>
      <c r="D22" s="2" t="inlineStr">
        <is>
          <t>requests/D04_가상구매요청서_11.txt</t>
        </is>
      </c>
      <c r="E22" s="2" t="inlineStr">
        <is>
          <t xml:space="preserve">[구매 요청서] B현장 현장지원팀 / 요청자 정설비
품목: P-09
희망 납기: 2026-10-01
배송지: B현장 동측 게이트 자재창고
비고: 길이는 도면 확인 후 알려드림
</t>
        </is>
      </c>
    </row>
    <row r="23">
      <c r="A23" s="2" t="inlineStr">
        <is>
          <t>D04-11S</t>
        </is>
      </c>
      <c r="B23" s="2" t="inlineStr">
        <is>
          <t>필수누락</t>
        </is>
      </c>
      <c r="C23" s="2" t="inlineStr">
        <is>
          <t>scan</t>
        </is>
      </c>
      <c r="D23" s="2" t="inlineStr">
        <is>
          <t>requests_scan/D04_가상구매요청서_11_scan.txt</t>
        </is>
      </c>
      <c r="E23" s="2" t="inlineStr">
        <is>
          <t xml:space="preserve">[구매 요청서] B현장현장지원팀 / 요청자정설비
품목:P-09
희망 납기:2O26-lO-Ol
배송지:B현장 동측 게이트 자재창고
비고:길이는 도면 확인후 알려드림
</t>
        </is>
      </c>
    </row>
    <row r="24">
      <c r="A24" s="2" t="inlineStr">
        <is>
          <t>D04-12</t>
        </is>
      </c>
      <c r="B24" s="2" t="inlineStr">
        <is>
          <t>필수누락</t>
        </is>
      </c>
      <c r="C24" s="2" t="inlineStr">
        <is>
          <t>clean</t>
        </is>
      </c>
      <c r="D24" s="2" t="inlineStr">
        <is>
          <t>requests/D04_가상구매요청서_12.txt</t>
        </is>
      </c>
      <c r="E24" s="2" t="inlineStr">
        <is>
          <t xml:space="preserve">한구매입니다. PVC관 30본 부탁드립니다.
</t>
        </is>
      </c>
    </row>
    <row r="25">
      <c r="A25" s="2" t="inlineStr">
        <is>
          <t>D04-13</t>
        </is>
      </c>
      <c r="B25" s="2" t="inlineStr">
        <is>
          <t>모호표현</t>
        </is>
      </c>
      <c r="C25" s="2" t="inlineStr">
        <is>
          <t>clean</t>
        </is>
      </c>
      <c r="D25" s="2" t="inlineStr">
        <is>
          <t>requests/D04_가상구매요청서_13.txt</t>
        </is>
      </c>
      <c r="E25" s="2" t="inlineStr">
        <is>
          <t>A현장, 품목 P-01 20개, 다음 주 필요.</t>
        </is>
      </c>
    </row>
    <row r="26">
      <c r="A26" s="2" t="inlineStr">
        <is>
          <t>D04-13S</t>
        </is>
      </c>
      <c r="B26" s="2" t="inlineStr">
        <is>
          <t>모호표현</t>
        </is>
      </c>
      <c r="C26" s="2" t="inlineStr">
        <is>
          <t>scan</t>
        </is>
      </c>
      <c r="D26" s="2" t="inlineStr">
        <is>
          <t>requests_scan/D04_가상구매요청서_13_scan.txt</t>
        </is>
      </c>
      <c r="E26" s="2" t="inlineStr">
        <is>
          <t>A현장,품목 P-01 2O개,다음 주 필요.</t>
        </is>
      </c>
    </row>
    <row r="27">
      <c r="A27" s="2" t="inlineStr">
        <is>
          <t>D04-14</t>
        </is>
      </c>
      <c r="B27" s="2" t="inlineStr">
        <is>
          <t>모호표현</t>
        </is>
      </c>
      <c r="C27" s="2" t="inlineStr">
        <is>
          <t>clean</t>
        </is>
      </c>
      <c r="D27" s="2" t="inlineStr">
        <is>
          <t>requests/D04_가상구매요청서_14.txt</t>
        </is>
      </c>
      <c r="E27" s="2" t="inlineStr">
        <is>
          <t xml:space="preserve">[구매 요청서] B현장 현장지원팀 / 요청자 박지원
품목: P-07 50A
수량: 15 개
희망 납기: ASAP
배송지: B현장 1동 1층 야적장
비고: 협력사 대기 중
</t>
        </is>
      </c>
    </row>
    <row r="28">
      <c r="A28" s="2" t="inlineStr">
        <is>
          <t>D04-14S</t>
        </is>
      </c>
      <c r="B28" s="2" t="inlineStr">
        <is>
          <t>모호표현</t>
        </is>
      </c>
      <c r="C28" s="2" t="inlineStr">
        <is>
          <t>scan</t>
        </is>
      </c>
      <c r="D28" s="2" t="inlineStr">
        <is>
          <t>requests_scan/D04_가상구매요청서_14_scan.txt</t>
        </is>
      </c>
      <c r="E28" s="2" t="inlineStr">
        <is>
          <t xml:space="preserve">[구매 요청서] B현장현장지원팀 / 요청자박지원
품목:P-07 50A
수량:lS 개
희망 납기:ASAP
배송지:B현장 1동 1층 야적장
비고:협력사 대기 중
</t>
        </is>
      </c>
    </row>
    <row r="29">
      <c r="A29" s="2" t="inlineStr">
        <is>
          <t>D04-15</t>
        </is>
      </c>
      <c r="B29" s="2" t="inlineStr">
        <is>
          <t>모호표현</t>
        </is>
      </c>
      <c r="C29" s="2" t="inlineStr">
        <is>
          <t>clean</t>
        </is>
      </c>
      <c r="D29" s="2" t="inlineStr">
        <is>
          <t>requests/D04_가상구매요청서_15.txt</t>
        </is>
      </c>
      <c r="E29" s="2" t="inlineStr">
        <is>
          <t xml:space="preserve">이자재: 안녕하세요, C현장 자재 요청드립니다.
이자재: 엘보 50A 20개 필요합니다.
이자재: 납기는 이번 달 안 희망하고, 배송은 C현장 정문 게이트 하치장로 부탁드려요.
이자재: 각도는 도면 참조
</t>
        </is>
      </c>
    </row>
    <row r="30">
      <c r="A30" s="2" t="inlineStr">
        <is>
          <t>D04-15S</t>
        </is>
      </c>
      <c r="B30" s="2" t="inlineStr">
        <is>
          <t>모호표현</t>
        </is>
      </c>
      <c r="C30" s="2" t="inlineStr">
        <is>
          <t>scan</t>
        </is>
      </c>
      <c r="D30" s="2" t="inlineStr">
        <is>
          <t>requests_scan/D04_가상구매요청서_15_scan.txt</t>
        </is>
      </c>
      <c r="E30" s="2" t="inlineStr">
        <is>
          <t xml:space="preserve">이자재:안녕하세요,C현장 자재 요청드립니다.
이자재:엘보 SOA 20개 필요합니다.
이자재:납기는 이번 달 안 희망하고,배송은 C현장 정문 게이트 하치장로 부탁드려요.
이자재:각도는 도면 참조
</t>
        </is>
      </c>
    </row>
    <row r="31">
      <c r="A31" s="2" t="inlineStr">
        <is>
          <t>D04-16</t>
        </is>
      </c>
      <c r="B31" s="2" t="inlineStr">
        <is>
          <t>모호표현</t>
        </is>
      </c>
      <c r="C31" s="2" t="inlineStr">
        <is>
          <t>clean</t>
        </is>
      </c>
      <c r="D31" s="2" t="inlineStr">
        <is>
          <t>requests/D04_가상구매요청서_16.txt</t>
        </is>
      </c>
      <c r="E31" s="2" t="inlineStr">
        <is>
          <t xml:space="preserve">제목: 자재 구매 요청
구매팀 담당자님, 최공무입니다.
아래 자재 구매를 요청합니다.
- 품명/규격: P-05 / 50A
- 수량: 30본
- 희망 납기: 빨리
- 납품 장소: A현장 2동 옥상 기계실
공정 지연 중
</t>
        </is>
      </c>
    </row>
    <row r="32">
      <c r="A32" s="2" t="inlineStr">
        <is>
          <t>D04-16S</t>
        </is>
      </c>
      <c r="B32" s="2" t="inlineStr">
        <is>
          <t>모호표현</t>
        </is>
      </c>
      <c r="C32" s="2" t="inlineStr">
        <is>
          <t>scan</t>
        </is>
      </c>
      <c r="D32" s="2" t="inlineStr">
        <is>
          <t>requests_scan/D04_가상구매요청서_16_scan.txt</t>
        </is>
      </c>
      <c r="E32" s="2" t="inlineStr">
        <is>
          <t xml:space="preserve">제목:자재 구매 요청
구매팀담당자님,최공무입니다.
아래 자재 구매를요청합니다.
- 품명/규격:P-05 / 50A
- 수량:3O본
- 희망 납기:빨리
- 납품 장소:A현장 2동 옥상 기계실
공정 지연 중
</t>
        </is>
      </c>
    </row>
    <row r="33">
      <c r="A33" s="2" t="inlineStr">
        <is>
          <t>D04-17</t>
        </is>
      </c>
      <c r="B33" s="2" t="inlineStr">
        <is>
          <t>모호표현</t>
        </is>
      </c>
      <c r="C33" s="2" t="inlineStr">
        <is>
          <t>clean</t>
        </is>
      </c>
      <c r="D33" s="2" t="inlineStr">
        <is>
          <t>requests/D04_가상구매요청서_17.txt</t>
        </is>
      </c>
      <c r="E33" s="2" t="inlineStr">
        <is>
          <t xml:space="preserve">B현장 정설비 메모
P-10 12mm 6롤
내주 초
→ B현장 동측 게이트 자재창고
</t>
        </is>
      </c>
    </row>
    <row r="34">
      <c r="A34" s="2" t="inlineStr">
        <is>
          <t>D04-17S</t>
        </is>
      </c>
      <c r="B34" s="2" t="inlineStr">
        <is>
          <t>모호표현</t>
        </is>
      </c>
      <c r="C34" s="2" t="inlineStr">
        <is>
          <t>scan</t>
        </is>
      </c>
      <c r="D34" s="2" t="inlineStr">
        <is>
          <t>requests_scan/D04_가상구매요청서_17_scan.txt</t>
        </is>
      </c>
      <c r="E34" s="2" t="inlineStr">
        <is>
          <t xml:space="preserve">B현장 정설비 메모
P-10 l2mm 6롤
내주 초
→ B현장 동측 게이트 자재창고
</t>
        </is>
      </c>
    </row>
    <row r="35">
      <c r="A35" s="2" t="inlineStr">
        <is>
          <t>D04-18</t>
        </is>
      </c>
      <c r="B35" s="2" t="inlineStr">
        <is>
          <t>모호표현</t>
        </is>
      </c>
      <c r="C35" s="2" t="inlineStr">
        <is>
          <t>clean</t>
        </is>
      </c>
      <c r="D35" s="2" t="inlineStr">
        <is>
          <t>requests/D04_가상구매요청서_18.txt</t>
        </is>
      </c>
      <c r="E35" s="2" t="inlineStr">
        <is>
          <t xml:space="preserve">한구매: 안녕하세요, C현장 자재 요청드립니다.
한구매: 백관 100A 10본 필요합니다.
한구매: 납기는 급합니다 희망하고, 배송은 C현장 1동 1층 야적장로 부탁드려요.
한구매: 기존 라인 연결용
</t>
        </is>
      </c>
    </row>
    <row r="36">
      <c r="A36" s="2" t="inlineStr">
        <is>
          <t>D04-18S</t>
        </is>
      </c>
      <c r="B36" s="2" t="inlineStr">
        <is>
          <t>모호표현</t>
        </is>
      </c>
      <c r="C36" s="2" t="inlineStr">
        <is>
          <t>scan</t>
        </is>
      </c>
      <c r="D36" s="2" t="inlineStr">
        <is>
          <t>requests_scan/D04_가상구매요청서_18_scan.txt</t>
        </is>
      </c>
      <c r="E36" s="2" t="inlineStr">
        <is>
          <t xml:space="preserve">한구매:안녕하세요,C현장 자재 요청드립니다.
한구매:백관 100A lO본 필요합니다.
한구매:납기는 급합니다 희망하고,배송은 C현장 1동 1층 야적장로 부탁드려요.
한구매:기존 라인 연결용
</t>
        </is>
      </c>
    </row>
    <row r="37">
      <c r="A37" s="2" t="inlineStr">
        <is>
          <t>D04-19</t>
        </is>
      </c>
      <c r="B37" s="2" t="inlineStr">
        <is>
          <t>단위불일치</t>
        </is>
      </c>
      <c r="C37" s="2" t="inlineStr">
        <is>
          <t>clean</t>
        </is>
      </c>
      <c r="D37" s="2" t="inlineStr">
        <is>
          <t>requests/D04_가상구매요청서_19.txt</t>
        </is>
      </c>
      <c r="E37" s="2" t="inlineStr">
        <is>
          <t xml:space="preserve">[구매 요청서] A현장 현장지원팀 / 요청자 김현장
품목: P-03 50A
수량: 40 m
희망 납기: 2026-09-27
배송지: A현장 3동 지하1층 자재창고
</t>
        </is>
      </c>
    </row>
    <row r="38">
      <c r="A38" s="2" t="inlineStr">
        <is>
          <t>D04-19S</t>
        </is>
      </c>
      <c r="B38" s="2" t="inlineStr">
        <is>
          <t>단위불일치</t>
        </is>
      </c>
      <c r="C38" s="2" t="inlineStr">
        <is>
          <t>scan</t>
        </is>
      </c>
      <c r="D38" s="2" t="inlineStr">
        <is>
          <t>requests_scan/D04_가상구매요청서_19_scan.txt</t>
        </is>
      </c>
      <c r="E38" s="2" t="inlineStr">
        <is>
          <t xml:space="preserve">[구매 요청서] A현장현장지원팀 / 요청자김현장
품목:P-03 50A
수량:4O m
희망 납기:2026-09-27
배송지:A현장 3동 지하1층 자재창고
</t>
        </is>
      </c>
    </row>
    <row r="39">
      <c r="A39" s="2" t="inlineStr">
        <is>
          <t>D04-20</t>
        </is>
      </c>
      <c r="B39" s="2" t="inlineStr">
        <is>
          <t>단위불일치</t>
        </is>
      </c>
      <c r="C39" s="2" t="inlineStr">
        <is>
          <t>clean</t>
        </is>
      </c>
      <c r="D39" s="2" t="inlineStr">
        <is>
          <t>requests/D04_가상구매요청서_20.txt</t>
        </is>
      </c>
      <c r="E39" s="2" t="inlineStr">
        <is>
          <t xml:space="preserve">박지원: 안녕하세요, B현장 자재 요청드립니다.
박지원: P-09 50A 30개 필요합니다.
박지원: 납기는 9월 29일 희망하고, 배송은 B현장 1동 1층 야적장로 부탁드려요.
</t>
        </is>
      </c>
    </row>
    <row r="40">
      <c r="A40" s="2" t="inlineStr">
        <is>
          <t>D04-20S</t>
        </is>
      </c>
      <c r="B40" s="2" t="inlineStr">
        <is>
          <t>단위불일치</t>
        </is>
      </c>
      <c r="C40" s="2" t="inlineStr">
        <is>
          <t>scan</t>
        </is>
      </c>
      <c r="D40" s="2" t="inlineStr">
        <is>
          <t>requests_scan/D04_가상구매요청서_20_scan.txt</t>
        </is>
      </c>
      <c r="E40" s="2" t="inlineStr">
        <is>
          <t xml:space="preserve">박지원:안녕하세요,B현장 자재 요청드립니다.
박지원:P-09 SOA 30개 필요합니다.
박지원:납기는 9월 29일 희망하고,배송은 B현장 1동 1층 야적장로 부탁드려요.
</t>
        </is>
      </c>
    </row>
    <row r="41">
      <c r="A41" s="2" t="inlineStr">
        <is>
          <t>D04-21</t>
        </is>
      </c>
      <c r="B41" s="2" t="inlineStr">
        <is>
          <t>단위불일치</t>
        </is>
      </c>
      <c r="C41" s="2" t="inlineStr">
        <is>
          <t>clean</t>
        </is>
      </c>
      <c r="D41" s="2" t="inlineStr">
        <is>
          <t>requests/D04_가상구매요청서_21.txt</t>
        </is>
      </c>
      <c r="E41" s="2" t="inlineStr">
        <is>
          <t xml:space="preserve">제목: 자재 구매 요청
구매팀 담당자님, 이자재입니다.
아래 자재 구매를 요청합니다.
- 품명/규격: P-10 / 12mm
- 수량: 5개
- 희망 납기: 9/30
- 납품 장소: C현장 정문 게이트 하치장
</t>
        </is>
      </c>
    </row>
    <row r="42">
      <c r="A42" s="2" t="inlineStr">
        <is>
          <t>D04-21S</t>
        </is>
      </c>
      <c r="B42" s="2" t="inlineStr">
        <is>
          <t>단위불일치</t>
        </is>
      </c>
      <c r="C42" s="2" t="inlineStr">
        <is>
          <t>scan</t>
        </is>
      </c>
      <c r="D42" s="2" t="inlineStr">
        <is>
          <t>requests_scan/D04_가상구매요청서_21_scan.txt</t>
        </is>
      </c>
      <c r="E42" s="2" t="inlineStr">
        <is>
          <t xml:space="preserve">제목:자재 구매 요청
구매팀담당자님,이자재입니다.
아래 자재 구매를요청합니다.
- 품명/규격:P-10 / l2mm
- 수량:5개
- 희망 납기:9/30
- 납품 장소:C현장 정문 게이트 하치장
</t>
        </is>
      </c>
    </row>
    <row r="43">
      <c r="A43" s="2" t="inlineStr">
        <is>
          <t>D04-22</t>
        </is>
      </c>
      <c r="B43" s="2" t="inlineStr">
        <is>
          <t>단위불일치</t>
        </is>
      </c>
      <c r="C43" s="2" t="inlineStr">
        <is>
          <t>clean</t>
        </is>
      </c>
      <c r="D43" s="2" t="inlineStr">
        <is>
          <t>requests/D04_가상구매요청서_22.txt</t>
        </is>
      </c>
      <c r="E43" s="2" t="inlineStr">
        <is>
          <t xml:space="preserve">A현장 최공무 메모
P-01 50A 20본
2026-09-28
→ A현장 2동 옥상 기계실
</t>
        </is>
      </c>
    </row>
    <row r="44">
      <c r="A44" s="2" t="inlineStr">
        <is>
          <t>D04-22S</t>
        </is>
      </c>
      <c r="B44" s="2" t="inlineStr">
        <is>
          <t>단위불일치</t>
        </is>
      </c>
      <c r="C44" s="2" t="inlineStr">
        <is>
          <t>scan</t>
        </is>
      </c>
      <c r="D44" s="2" t="inlineStr">
        <is>
          <t>requests_scan/D04_가상구매요청서_22_scan.txt</t>
        </is>
      </c>
      <c r="E44" s="2" t="inlineStr">
        <is>
          <t xml:space="preserve">A현장 최공무 메모
P-01 50A 2O본
2026-09-28
→ A현장 2동 옥상 기계실
</t>
        </is>
      </c>
    </row>
    <row r="45">
      <c r="A45" s="2" t="inlineStr">
        <is>
          <t>D04-23</t>
        </is>
      </c>
      <c r="B45" s="2" t="inlineStr">
        <is>
          <t>단위불일치</t>
        </is>
      </c>
      <c r="C45" s="2" t="inlineStr">
        <is>
          <t>clean</t>
        </is>
      </c>
      <c r="D45" s="2" t="inlineStr">
        <is>
          <t>requests/D04_가상구매요청서_23.txt</t>
        </is>
      </c>
      <c r="E45" s="2" t="inlineStr">
        <is>
          <t xml:space="preserve">[구매 요청서] B현장 현장지원팀 / 요청자 정설비
품목: P-07 50A
수량: 15 본
희망 납기: 2026-10-02
배송지: B현장 동측 게이트 자재창고
</t>
        </is>
      </c>
    </row>
    <row r="46">
      <c r="A46" s="2" t="inlineStr">
        <is>
          <t>D04-23S</t>
        </is>
      </c>
      <c r="B46" s="2" t="inlineStr">
        <is>
          <t>단위불일치</t>
        </is>
      </c>
      <c r="C46" s="2" t="inlineStr">
        <is>
          <t>scan</t>
        </is>
      </c>
      <c r="D46" s="2" t="inlineStr">
        <is>
          <t>requests_scan/D04_가상구매요청서_23_scan.txt</t>
        </is>
      </c>
      <c r="E46" s="2" t="inlineStr">
        <is>
          <t xml:space="preserve">[구매 요청서] B현장현장지원팀 / 요청자정설비
품목:P-O7 50A
수량:15 본
희망 납기:2026-10-02
배송지:B현장 동측 게이트 자재창고
</t>
        </is>
      </c>
    </row>
    <row r="47">
      <c r="A47" s="2" t="inlineStr">
        <is>
          <t>D04-24</t>
        </is>
      </c>
      <c r="B47" s="2" t="inlineStr">
        <is>
          <t>단위불일치</t>
        </is>
      </c>
      <c r="C47" s="2" t="inlineStr">
        <is>
          <t>clean</t>
        </is>
      </c>
      <c r="D47" s="2" t="inlineStr">
        <is>
          <t>requests/D04_가상구매요청서_24.txt</t>
        </is>
      </c>
      <c r="E47" s="2" t="inlineStr">
        <is>
          <t xml:space="preserve">한구매: 안녕하세요, C현장 자재 요청드립니다.
한구매: P-06 100A 12EA 필요합니다.
한구매: 납기는 10월 5일 희망하고, 배송은 C현장 1동 1층 야적장로 부탁드려요.
</t>
        </is>
      </c>
    </row>
    <row r="48">
      <c r="A48" s="2" t="inlineStr">
        <is>
          <t>D04-24S</t>
        </is>
      </c>
      <c r="B48" s="2" t="inlineStr">
        <is>
          <t>단위불일치</t>
        </is>
      </c>
      <c r="C48" s="2" t="inlineStr">
        <is>
          <t>scan</t>
        </is>
      </c>
      <c r="D48" s="2" t="inlineStr">
        <is>
          <t>requests_scan/D04_가상구매요청서_24_scan.txt</t>
        </is>
      </c>
      <c r="E48" s="2" t="inlineStr">
        <is>
          <t xml:space="preserve">한구매:안녕하세요,C현장 자재 요청드립니다.
한구매:P-06 100A l2EA 필요합니다.
한구매:납기는 10월 5일 희망하고,배송은 C현장 1동 1층 야적장로 부탁드려요.
</t>
        </is>
      </c>
    </row>
    <row r="49">
      <c r="A49" s="2" t="inlineStr">
        <is>
          <t>D04-25</t>
        </is>
      </c>
      <c r="B49" s="2" t="inlineStr">
        <is>
          <t>배송조건누락</t>
        </is>
      </c>
      <c r="C49" s="2" t="inlineStr">
        <is>
          <t>clean</t>
        </is>
      </c>
      <c r="D49" s="2" t="inlineStr">
        <is>
          <t>requests/D04_가상구매요청서_25.txt</t>
        </is>
      </c>
      <c r="E49" s="2" t="inlineStr">
        <is>
          <t xml:space="preserve">[구매 요청서] A현장 현장지원팀 / 요청자 김현장
품목: P-01 50A
수량: 20 개
희망 납기: 2026-09-25
배송지: A현장
</t>
        </is>
      </c>
    </row>
    <row r="50">
      <c r="A50" s="2" t="inlineStr">
        <is>
          <t>D04-25S</t>
        </is>
      </c>
      <c r="B50" s="2" t="inlineStr">
        <is>
          <t>배송조건누락</t>
        </is>
      </c>
      <c r="C50" s="2" t="inlineStr">
        <is>
          <t>scan</t>
        </is>
      </c>
      <c r="D50" s="2" t="inlineStr">
        <is>
          <t>requests_scan/D04_가상구매요청서_25_scan.txt</t>
        </is>
      </c>
      <c r="E50" s="2" t="inlineStr">
        <is>
          <t xml:space="preserve">[구매 요청서] A현장현장지원팀 / 요청자김현장
품목:P-01 50A
수량:2O 개
희망 납기:2026-09-25
배송지:A현장
</t>
        </is>
      </c>
    </row>
    <row r="51">
      <c r="A51" s="2" t="inlineStr">
        <is>
          <t>D04-26</t>
        </is>
      </c>
      <c r="B51" s="2" t="inlineStr">
        <is>
          <t>배송조건누락</t>
        </is>
      </c>
      <c r="C51" s="2" t="inlineStr">
        <is>
          <t>clean</t>
        </is>
      </c>
      <c r="D51" s="2" t="inlineStr">
        <is>
          <t>requests/D04_가상구매요청서_26.txt</t>
        </is>
      </c>
      <c r="E51" s="2" t="inlineStr">
        <is>
          <t xml:space="preserve">박지원입니다. P-03 50A 40본 9월 26일까지 부탁드립니다. 야적 가능
</t>
        </is>
      </c>
    </row>
    <row r="52">
      <c r="A52" s="2" t="inlineStr">
        <is>
          <t>D04-26S</t>
        </is>
      </c>
      <c r="B52" s="2" t="inlineStr">
        <is>
          <t>배송조건누락</t>
        </is>
      </c>
      <c r="C52" s="2" t="inlineStr">
        <is>
          <t>scan</t>
        </is>
      </c>
      <c r="D52" s="2" t="inlineStr">
        <is>
          <t>requests_scan/D04_가상구매요청서_26_scan.txt</t>
        </is>
      </c>
      <c r="E52" s="2" t="inlineStr">
        <is>
          <t xml:space="preserve">박지원입니다. P-03 50A 4O본 9월 26일까지 부탁드립니다. 야적 가능
</t>
        </is>
      </c>
    </row>
    <row r="53">
      <c r="A53" s="2" t="inlineStr">
        <is>
          <t>D04-27</t>
        </is>
      </c>
      <c r="B53" s="2" t="inlineStr">
        <is>
          <t>배송조건누락</t>
        </is>
      </c>
      <c r="C53" s="2" t="inlineStr">
        <is>
          <t>clean</t>
        </is>
      </c>
      <c r="D53" s="2" t="inlineStr">
        <is>
          <t>requests/D04_가상구매요청서_27.txt</t>
        </is>
      </c>
      <c r="E53" s="2" t="inlineStr">
        <is>
          <t xml:space="preserve">제목: 자재 구매 요청
구매팀 담당자님, 이자재입니다.
아래 자재 구매를 요청합니다.
- 품명/규격: P-09 / 50A
- 수량: 60m
- 희망 납기: 9/29
- 납품 장소: C현장
</t>
        </is>
      </c>
    </row>
    <row r="54">
      <c r="A54" s="2" t="inlineStr">
        <is>
          <t>D04-27S</t>
        </is>
      </c>
      <c r="B54" s="2" t="inlineStr">
        <is>
          <t>배송조건누락</t>
        </is>
      </c>
      <c r="C54" s="2" t="inlineStr">
        <is>
          <t>scan</t>
        </is>
      </c>
      <c r="D54" s="2" t="inlineStr">
        <is>
          <t>requests_scan/D04_가상구매요청서_27_scan.txt</t>
        </is>
      </c>
      <c r="E54" s="2" t="inlineStr">
        <is>
          <t xml:space="preserve">제목:자재 구매 요청
구매팀담당자님,이자재입니다.
아래 자재 구매를요청합니다.
- 품명/규격:P-09 / SOA
- 수량:60m
- 희망 납기:9/29
- 납품 장소:C현장
</t>
        </is>
      </c>
    </row>
    <row r="55">
      <c r="A55" s="2" t="inlineStr">
        <is>
          <t>D04-28</t>
        </is>
      </c>
      <c r="B55" s="2" t="inlineStr">
        <is>
          <t>배송조건누락</t>
        </is>
      </c>
      <c r="C55" s="2" t="inlineStr">
        <is>
          <t>clean</t>
        </is>
      </c>
      <c r="D55" s="2" t="inlineStr">
        <is>
          <t>requests/D04_가상구매요청서_28.txt</t>
        </is>
      </c>
      <c r="E55" s="2" t="inlineStr">
        <is>
          <t xml:space="preserve">최공무입니다. P-10 12mm 8롤 2026-09-30까지 부탁드립니다.
</t>
        </is>
      </c>
    </row>
    <row r="56">
      <c r="A56" s="2" t="inlineStr">
        <is>
          <t>D04-28S</t>
        </is>
      </c>
      <c r="B56" s="2" t="inlineStr">
        <is>
          <t>배송조건누락</t>
        </is>
      </c>
      <c r="C56" s="2" t="inlineStr">
        <is>
          <t>scan</t>
        </is>
      </c>
      <c r="D56" s="2" t="inlineStr">
        <is>
          <t>requests_scan/D04_가상구매요청서_28_scan.txt</t>
        </is>
      </c>
      <c r="E56" s="2" t="inlineStr">
        <is>
          <t xml:space="preserve">최공무입니다. P-10 l2mm 8롤 2026-09-30까지 부탁드립니다.
</t>
        </is>
      </c>
    </row>
    <row r="57">
      <c r="A57" s="2" t="inlineStr">
        <is>
          <t>D04-29</t>
        </is>
      </c>
      <c r="B57" s="2" t="inlineStr">
        <is>
          <t>배송조건누락</t>
        </is>
      </c>
      <c r="C57" s="2" t="inlineStr">
        <is>
          <t>clean</t>
        </is>
      </c>
      <c r="D57" s="2" t="inlineStr">
        <is>
          <t>requests/D04_가상구매요청서_29.txt</t>
        </is>
      </c>
      <c r="E57" s="2" t="inlineStr">
        <is>
          <t xml:space="preserve">정설비: 안녕하세요, B현장 자재 요청드립니다.
정설비: P-05 50A 20본 필요합니다.
정설비: 납기는 2026-10-01 희망하고, 배송은 B현장로 부탁드려요.
</t>
        </is>
      </c>
    </row>
    <row r="58">
      <c r="A58" s="2" t="inlineStr">
        <is>
          <t>D04-29S</t>
        </is>
      </c>
      <c r="B58" s="2" t="inlineStr">
        <is>
          <t>배송조건누락</t>
        </is>
      </c>
      <c r="C58" s="2" t="inlineStr">
        <is>
          <t>scan</t>
        </is>
      </c>
      <c r="D58" s="2" t="inlineStr">
        <is>
          <t>requests_scan/D04_가상구매요청서_29_scan.txt</t>
        </is>
      </c>
      <c r="E58" s="2" t="inlineStr">
        <is>
          <t xml:space="preserve">정설비:안녕하세요,B현장 자재 요청드립니다.
정설비:P-05 50A 2O본 필요합니다.
정설비:납기는 2026-10-01 희망하고,배송은 B현장로 부탁드려요.
</t>
        </is>
      </c>
    </row>
    <row r="59">
      <c r="A59" s="2" t="inlineStr">
        <is>
          <t>D04-30</t>
        </is>
      </c>
      <c r="B59" s="2" t="inlineStr">
        <is>
          <t>배송조건누락</t>
        </is>
      </c>
      <c r="C59" s="2" t="inlineStr">
        <is>
          <t>clean</t>
        </is>
      </c>
      <c r="D59" s="2" t="inlineStr">
        <is>
          <t>requests/D04_가상구매요청서_30.txt</t>
        </is>
      </c>
      <c r="E59" s="2" t="inlineStr">
        <is>
          <t xml:space="preserve">제목: 자재 구매 요청
구매팀 담당자님, 한구매입니다.
아래 자재 구매를 요청합니다.
- 품명/규격: P-02 / 100A
- 수량: 12개
- 희망 납기: 10월 6일
</t>
        </is>
      </c>
    </row>
    <row r="60">
      <c r="A60" s="2" t="inlineStr">
        <is>
          <t>D04-30S</t>
        </is>
      </c>
      <c r="B60" s="2" t="inlineStr">
        <is>
          <t>배송조건누락</t>
        </is>
      </c>
      <c r="C60" s="2" t="inlineStr">
        <is>
          <t>scan</t>
        </is>
      </c>
      <c r="D60" s="2" t="inlineStr">
        <is>
          <t>requests_scan/D04_가상구매요청서_30_scan.txt</t>
        </is>
      </c>
      <c r="E60" s="2" t="inlineStr">
        <is>
          <t xml:space="preserve">제목:자재 구매 요청
구매팀담당자님,한구매입니다.
아래 자재 구매를요청합니다.
- 품명/규격:P-O2 / 100A
- 수량:12개
- 희망 납기:10월 6일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2026-09-17T06:09:37Z</dcterms:created>
  <dcterms:modified xsi:type="dcterms:W3CDTF">2026-09-17T06:09:37Z</dcterms:modified>
</cp:coreProperties>
</file>